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IIT K\sem 2\idc606\assignment sample\my_gpu_code\new_rtx6000\report\"/>
    </mc:Choice>
  </mc:AlternateContent>
  <xr:revisionPtr revIDLastSave="0" documentId="13_ncr:1_{0270E7A7-75D0-4F97-916C-48D0918092DE}" xr6:coauthVersionLast="47" xr6:coauthVersionMax="47" xr10:uidLastSave="{00000000-0000-0000-0000-000000000000}"/>
  <bookViews>
    <workbookView minimized="1" xWindow="2640" yWindow="2640" windowWidth="21600" windowHeight="11295" firstSheet="1" activeTab="1" xr2:uid="{7EAA5CCC-1B9F-4844-848A-D3EC161570C4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3" l="1"/>
  <c r="H5" i="3"/>
  <c r="H3" i="3"/>
  <c r="F4" i="3"/>
  <c r="F5" i="3"/>
  <c r="F3" i="3"/>
  <c r="G5" i="3"/>
  <c r="B5" i="3"/>
  <c r="B4" i="3"/>
  <c r="B3" i="3"/>
  <c r="G4" i="3"/>
  <c r="G3" i="3"/>
  <c r="W54" i="2"/>
  <c r="W53" i="2"/>
  <c r="W52" i="2"/>
  <c r="W51" i="2"/>
  <c r="W50" i="2"/>
  <c r="W49" i="2"/>
  <c r="W48" i="2"/>
  <c r="W47" i="2"/>
  <c r="V54" i="2"/>
  <c r="V53" i="2"/>
  <c r="V52" i="2"/>
  <c r="V51" i="2"/>
  <c r="V50" i="2"/>
  <c r="V49" i="2"/>
  <c r="V48" i="2"/>
  <c r="V47" i="2"/>
  <c r="U54" i="2"/>
  <c r="U53" i="2"/>
  <c r="U52" i="2"/>
  <c r="U51" i="2"/>
  <c r="U50" i="2"/>
  <c r="U49" i="2"/>
  <c r="U48" i="2"/>
  <c r="U37" i="2"/>
  <c r="U47" i="2"/>
  <c r="T54" i="2"/>
  <c r="T53" i="2"/>
  <c r="T52" i="2"/>
  <c r="T51" i="2"/>
  <c r="T50" i="2"/>
  <c r="T49" i="2"/>
  <c r="T48" i="2"/>
  <c r="T47" i="2"/>
  <c r="S54" i="2"/>
  <c r="S53" i="2"/>
  <c r="S52" i="2"/>
  <c r="S51" i="2"/>
  <c r="S50" i="2"/>
  <c r="S49" i="2"/>
  <c r="S48" i="2"/>
  <c r="S47" i="2"/>
  <c r="R54" i="2"/>
  <c r="R53" i="2"/>
  <c r="R52" i="2"/>
  <c r="R51" i="2"/>
  <c r="Q51" i="2"/>
  <c r="R50" i="2"/>
  <c r="R49" i="2"/>
  <c r="R48" i="2"/>
  <c r="R47" i="2"/>
  <c r="Q52" i="2"/>
  <c r="Q50" i="2"/>
  <c r="Q49" i="2"/>
  <c r="Q48" i="2"/>
  <c r="Q47" i="2"/>
  <c r="P52" i="2"/>
  <c r="P51" i="2"/>
  <c r="P50" i="2"/>
  <c r="P49" i="2"/>
  <c r="P48" i="2"/>
  <c r="P47" i="2"/>
  <c r="O53" i="2"/>
  <c r="O52" i="2"/>
  <c r="O51" i="2"/>
  <c r="O50" i="2"/>
  <c r="O49" i="2"/>
  <c r="O48" i="2"/>
  <c r="O47" i="2"/>
  <c r="N54" i="2"/>
  <c r="N53" i="2"/>
  <c r="N52" i="2"/>
  <c r="N51" i="2"/>
  <c r="N50" i="2"/>
  <c r="N49" i="2"/>
  <c r="N48" i="2"/>
  <c r="N47" i="2"/>
</calcChain>
</file>

<file path=xl/sharedStrings.xml><?xml version="1.0" encoding="utf-8"?>
<sst xmlns="http://schemas.openxmlformats.org/spreadsheetml/2006/main" count="286" uniqueCount="46">
  <si>
    <t xml:space="preserve">Grid Size </t>
  </si>
  <si>
    <t>opti1</t>
  </si>
  <si>
    <t>opti2</t>
  </si>
  <si>
    <t>opti3</t>
  </si>
  <si>
    <t>opti4</t>
  </si>
  <si>
    <t>opti5_rk3</t>
  </si>
  <si>
    <t>80X10</t>
  </si>
  <si>
    <t>200X100</t>
  </si>
  <si>
    <t>500X100</t>
  </si>
  <si>
    <t>1000X100</t>
  </si>
  <si>
    <t>5000X100</t>
  </si>
  <si>
    <t>1000X1000</t>
  </si>
  <si>
    <t>5000X1000</t>
  </si>
  <si>
    <t>TFLOPs</t>
  </si>
  <si>
    <t>dRAM%</t>
  </si>
  <si>
    <t>SM_throughput %</t>
  </si>
  <si>
    <t>SMPS%</t>
  </si>
  <si>
    <t>time</t>
  </si>
  <si>
    <t xml:space="preserve">base </t>
  </si>
  <si>
    <t>base</t>
  </si>
  <si>
    <t>128X16</t>
  </si>
  <si>
    <t>256X32</t>
  </si>
  <si>
    <t>512X64</t>
  </si>
  <si>
    <t>1024X128</t>
  </si>
  <si>
    <t>2048X256</t>
  </si>
  <si>
    <t>4096X512</t>
  </si>
  <si>
    <t>8192X1024</t>
  </si>
  <si>
    <t>16384X2048</t>
  </si>
  <si>
    <t>Occupancy</t>
  </si>
  <si>
    <t>Estimated_speedup</t>
  </si>
  <si>
    <t>Achieved Active Warps per SM</t>
  </si>
  <si>
    <t>TFLOPs_hardware (fp32)</t>
  </si>
  <si>
    <t>Memory Throughput (Tbytes/s)</t>
  </si>
  <si>
    <t>opti6_SOA</t>
  </si>
  <si>
    <t>opti7</t>
  </si>
  <si>
    <t>opti8</t>
  </si>
  <si>
    <t>grid_size</t>
  </si>
  <si>
    <t>cpu_time</t>
  </si>
  <si>
    <t>gpu_time</t>
  </si>
  <si>
    <t xml:space="preserve">grids </t>
  </si>
  <si>
    <t>gpu_base</t>
  </si>
  <si>
    <t>speedup_base</t>
  </si>
  <si>
    <t>speedup_opti</t>
  </si>
  <si>
    <t>comparison</t>
  </si>
  <si>
    <t>opti8_sm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</si>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</sst>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SM_throughput</a:t>
            </a:r>
            <a:r>
              <a:rPr lang="en-IN" baseline="0"/>
              <a:t>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Sheet2!$A$25:$A$32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Sheet2!$B$25:$B$32</c:f>
              <c:numCache>
                <c:formatCode>General</c:formatCode>
                <c:ptCount val="8"/>
                <c:pt idx="0">
                  <c:v>1.32</c:v>
                </c:pt>
                <c:pt idx="1">
                  <c:v>4.6100000000000003</c:v>
                </c:pt>
                <c:pt idx="2">
                  <c:v>16.78</c:v>
                </c:pt>
                <c:pt idx="3">
                  <c:v>49.6</c:v>
                </c:pt>
                <c:pt idx="4">
                  <c:v>73.39</c:v>
                </c:pt>
                <c:pt idx="5">
                  <c:v>87.7</c:v>
                </c:pt>
                <c:pt idx="6">
                  <c:v>91.78</c:v>
                </c:pt>
                <c:pt idx="7">
                  <c:v>92.91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D-4255-A3F8-21244EB8FB6E}"/>
            </c:ext>
          </c:extLst>
        </c:ser>
        <c:ser>
          <c:idx val="1"/>
          <c:order val="1"/>
          <c:tx>
            <c:strRef>
              <c:f>Sheet2!$C$24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Sheet2!$A$25:$A$32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Sheet2!$C$25:$C$32</c:f>
              <c:numCache>
                <c:formatCode>General</c:formatCode>
                <c:ptCount val="8"/>
                <c:pt idx="0">
                  <c:v>1.03</c:v>
                </c:pt>
                <c:pt idx="1">
                  <c:v>3.52</c:v>
                </c:pt>
                <c:pt idx="2">
                  <c:v>12.76</c:v>
                </c:pt>
                <c:pt idx="3">
                  <c:v>38.74</c:v>
                </c:pt>
                <c:pt idx="4">
                  <c:v>65.52</c:v>
                </c:pt>
                <c:pt idx="5">
                  <c:v>82.94</c:v>
                </c:pt>
                <c:pt idx="6">
                  <c:v>85.13</c:v>
                </c:pt>
                <c:pt idx="7">
                  <c:v>82.47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5D-4255-A3F8-21244EB8FB6E}"/>
            </c:ext>
          </c:extLst>
        </c:ser>
        <c:ser>
          <c:idx val="2"/>
          <c:order val="2"/>
          <c:tx>
            <c:strRef>
              <c:f>Sheet2!$D$24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Sheet2!$A$25:$A$32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Sheet2!$D$25:$D$32</c:f>
              <c:numCache>
                <c:formatCode>General</c:formatCode>
                <c:ptCount val="8"/>
                <c:pt idx="0">
                  <c:v>1.03</c:v>
                </c:pt>
                <c:pt idx="1">
                  <c:v>3.45</c:v>
                </c:pt>
                <c:pt idx="2">
                  <c:v>12.64</c:v>
                </c:pt>
                <c:pt idx="3">
                  <c:v>39.090000000000003</c:v>
                </c:pt>
                <c:pt idx="4">
                  <c:v>65.38</c:v>
                </c:pt>
                <c:pt idx="5">
                  <c:v>82.21</c:v>
                </c:pt>
                <c:pt idx="6">
                  <c:v>86.71</c:v>
                </c:pt>
                <c:pt idx="7">
                  <c:v>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5D-4255-A3F8-21244EB8FB6E}"/>
            </c:ext>
          </c:extLst>
        </c:ser>
        <c:ser>
          <c:idx val="3"/>
          <c:order val="3"/>
          <c:tx>
            <c:strRef>
              <c:f>Sheet2!$E$24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Sheet2!$A$25:$A$32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Sheet2!$E$25:$E$32</c:f>
              <c:numCache>
                <c:formatCode>General</c:formatCode>
                <c:ptCount val="8"/>
                <c:pt idx="0">
                  <c:v>1.01</c:v>
                </c:pt>
                <c:pt idx="1">
                  <c:v>3.4</c:v>
                </c:pt>
                <c:pt idx="2">
                  <c:v>12.58</c:v>
                </c:pt>
                <c:pt idx="3">
                  <c:v>37.840000000000003</c:v>
                </c:pt>
                <c:pt idx="4">
                  <c:v>65.239999999999995</c:v>
                </c:pt>
                <c:pt idx="5">
                  <c:v>82.61</c:v>
                </c:pt>
                <c:pt idx="6">
                  <c:v>86.59</c:v>
                </c:pt>
                <c:pt idx="7">
                  <c:v>82.58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5D-4255-A3F8-21244EB8FB6E}"/>
            </c:ext>
          </c:extLst>
        </c:ser>
        <c:ser>
          <c:idx val="4"/>
          <c:order val="4"/>
          <c:tx>
            <c:strRef>
              <c:f>Sheet2!$F$24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Sheet2!$A$25:$A$32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Sheet2!$F$25:$F$32</c:f>
              <c:numCache>
                <c:formatCode>General</c:formatCode>
                <c:ptCount val="8"/>
                <c:pt idx="0">
                  <c:v>1.28</c:v>
                </c:pt>
                <c:pt idx="1">
                  <c:v>4.42</c:v>
                </c:pt>
                <c:pt idx="2">
                  <c:v>16.47</c:v>
                </c:pt>
                <c:pt idx="3">
                  <c:v>47.41</c:v>
                </c:pt>
                <c:pt idx="4">
                  <c:v>60.07</c:v>
                </c:pt>
                <c:pt idx="5">
                  <c:v>69.47</c:v>
                </c:pt>
                <c:pt idx="6">
                  <c:v>72.19</c:v>
                </c:pt>
                <c:pt idx="7">
                  <c:v>73.13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5D-4255-A3F8-21244EB8FB6E}"/>
            </c:ext>
          </c:extLst>
        </c:ser>
        <c:ser>
          <c:idx val="5"/>
          <c:order val="5"/>
          <c:tx>
            <c:strRef>
              <c:f>Sheet2!$G$24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Sheet2!$A$25:$A$32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Sheet2!$G$25:$G$32</c:f>
              <c:numCache>
                <c:formatCode>General</c:formatCode>
                <c:ptCount val="8"/>
                <c:pt idx="0">
                  <c:v>1.28</c:v>
                </c:pt>
                <c:pt idx="1">
                  <c:v>4.4800000000000004</c:v>
                </c:pt>
                <c:pt idx="2">
                  <c:v>16.440000000000001</c:v>
                </c:pt>
                <c:pt idx="3">
                  <c:v>47.24</c:v>
                </c:pt>
                <c:pt idx="4">
                  <c:v>58.73</c:v>
                </c:pt>
                <c:pt idx="5">
                  <c:v>69.13</c:v>
                </c:pt>
                <c:pt idx="6">
                  <c:v>72.06</c:v>
                </c:pt>
                <c:pt idx="7">
                  <c:v>73.150000000000006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5D-4255-A3F8-21244EB8F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7455968"/>
        <c:axId val="987455488"/>
      </c:lineChart>
      <c:catAx>
        <c:axId val="98745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455488"/>
        <c:crosses val="autoZero"/>
        <c:auto val="1"/>
        <c:lblAlgn val="ctr"/>
        <c:lblOffset val="100"/>
        <c:noMultiLvlLbl val="0"/>
      </c:catAx>
      <c:valAx>
        <c:axId val="98745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45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Algorithm_TFLOPS</a:t>
            </a:r>
            <a:r>
              <a:rPr lang="en-IN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base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Sheet2!$A$3:$A$10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Sheet2!$B$3:$B$10</c:f>
              <c:numCache>
                <c:formatCode>General</c:formatCode>
                <c:ptCount val="8"/>
                <c:pt idx="0">
                  <c:v>3.7599E-2</c:v>
                </c:pt>
                <c:pt idx="1">
                  <c:v>0.14990500000000001</c:v>
                </c:pt>
                <c:pt idx="2">
                  <c:v>0.63738700000000004</c:v>
                </c:pt>
                <c:pt idx="3">
                  <c:v>2.4417369999999998</c:v>
                </c:pt>
                <c:pt idx="4">
                  <c:v>3.6758510000000002</c:v>
                </c:pt>
                <c:pt idx="5">
                  <c:v>3.5088080000000001</c:v>
                </c:pt>
                <c:pt idx="6">
                  <c:v>2.7776420000000002</c:v>
                </c:pt>
                <c:pt idx="7">
                  <c:v>5.4955210000000001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8-4B91-B37B-642FA265275F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Sheet2!$A$3:$A$10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Sheet2!$C$3:$C$10</c:f>
              <c:numCache>
                <c:formatCode>General</c:formatCode>
                <c:ptCount val="8"/>
                <c:pt idx="0">
                  <c:v>5.1942000000000002E-2</c:v>
                </c:pt>
                <c:pt idx="1">
                  <c:v>0.204738</c:v>
                </c:pt>
                <c:pt idx="2">
                  <c:v>0.82581199999999999</c:v>
                </c:pt>
                <c:pt idx="3">
                  <c:v>3.1653859999999998</c:v>
                </c:pt>
                <c:pt idx="4">
                  <c:v>12.376474999999999</c:v>
                </c:pt>
                <c:pt idx="5">
                  <c:v>18.601899</c:v>
                </c:pt>
                <c:pt idx="6">
                  <c:v>8.5562690000000003</c:v>
                </c:pt>
                <c:pt idx="7">
                  <c:v>4.9439539999999997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B8-4B91-B37B-642FA265275F}"/>
            </c:ext>
          </c:extLst>
        </c:ser>
        <c:ser>
          <c:idx val="2"/>
          <c:order val="2"/>
          <c:tx>
            <c:strRef>
              <c:f>Sheet2!$D$2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Sheet2!$A$3:$A$10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Sheet2!$D$3:$D$10</c:f>
              <c:numCache>
                <c:formatCode>General</c:formatCode>
                <c:ptCount val="8"/>
                <c:pt idx="0">
                  <c:v>4.9896000000000003E-2</c:v>
                </c:pt>
                <c:pt idx="1">
                  <c:v>0.20011999999999999</c:v>
                </c:pt>
                <c:pt idx="2">
                  <c:v>0.81024300000000005</c:v>
                </c:pt>
                <c:pt idx="3">
                  <c:v>3.090395</c:v>
                </c:pt>
                <c:pt idx="4">
                  <c:v>12.596807999999999</c:v>
                </c:pt>
                <c:pt idx="5">
                  <c:v>19.916799999999999</c:v>
                </c:pt>
                <c:pt idx="6">
                  <c:v>9.7334890000000005</c:v>
                </c:pt>
                <c:pt idx="7">
                  <c:v>5.187824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B8-4B91-B37B-642FA265275F}"/>
            </c:ext>
          </c:extLst>
        </c:ser>
        <c:ser>
          <c:idx val="3"/>
          <c:order val="3"/>
          <c:tx>
            <c:strRef>
              <c:f>Sheet2!$E$2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Sheet2!$A$3:$A$10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Sheet2!$E$3:$E$10</c:f>
              <c:numCache>
                <c:formatCode>General</c:formatCode>
                <c:ptCount val="8"/>
                <c:pt idx="0">
                  <c:v>5.0971000000000002E-2</c:v>
                </c:pt>
                <c:pt idx="1">
                  <c:v>0.19908500000000001</c:v>
                </c:pt>
                <c:pt idx="2">
                  <c:v>0.80376599999999998</c:v>
                </c:pt>
                <c:pt idx="3">
                  <c:v>3.1253150000000001</c:v>
                </c:pt>
                <c:pt idx="4">
                  <c:v>12.67055</c:v>
                </c:pt>
                <c:pt idx="5">
                  <c:v>21.069944</c:v>
                </c:pt>
                <c:pt idx="6">
                  <c:v>10.047841999999999</c:v>
                </c:pt>
                <c:pt idx="7">
                  <c:v>9.9665510000000008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B8-4B91-B37B-642FA265275F}"/>
            </c:ext>
          </c:extLst>
        </c:ser>
        <c:ser>
          <c:idx val="4"/>
          <c:order val="4"/>
          <c:tx>
            <c:strRef>
              <c:f>Sheet2!$F$2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Sheet2!$A$3:$A$10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Sheet2!$F$3:$F$10</c:f>
              <c:numCache>
                <c:formatCode>General</c:formatCode>
                <c:ptCount val="8"/>
                <c:pt idx="0">
                  <c:v>0.292016</c:v>
                </c:pt>
                <c:pt idx="1">
                  <c:v>1.138919</c:v>
                </c:pt>
                <c:pt idx="2">
                  <c:v>4.5904480000000003</c:v>
                </c:pt>
                <c:pt idx="3">
                  <c:v>17.449566999999998</c:v>
                </c:pt>
                <c:pt idx="4">
                  <c:v>56.846018000000001</c:v>
                </c:pt>
                <c:pt idx="5">
                  <c:v>76.126396</c:v>
                </c:pt>
                <c:pt idx="6">
                  <c:v>60.305087</c:v>
                </c:pt>
                <c:pt idx="7">
                  <c:v>51.371814999999998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B8-4B91-B37B-642FA265275F}"/>
            </c:ext>
          </c:extLst>
        </c:ser>
        <c:ser>
          <c:idx val="5"/>
          <c:order val="5"/>
          <c:tx>
            <c:strRef>
              <c:f>Sheet2!$G$2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Sheet2!$A$3:$A$10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Sheet2!$G$3:$G$10</c:f>
              <c:numCache>
                <c:formatCode>General</c:formatCode>
                <c:ptCount val="8"/>
                <c:pt idx="0">
                  <c:v>0.32200699999999999</c:v>
                </c:pt>
                <c:pt idx="1">
                  <c:v>1.310449</c:v>
                </c:pt>
                <c:pt idx="2">
                  <c:v>5.2241090000000003</c:v>
                </c:pt>
                <c:pt idx="3">
                  <c:v>20.627804999999999</c:v>
                </c:pt>
                <c:pt idx="4">
                  <c:v>63.960030000000003</c:v>
                </c:pt>
                <c:pt idx="5">
                  <c:v>78.618527999999998</c:v>
                </c:pt>
                <c:pt idx="6">
                  <c:v>63.459215999999998</c:v>
                </c:pt>
                <c:pt idx="7">
                  <c:v>41.139263999999997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B8-4B91-B37B-642FA265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414640"/>
        <c:axId val="992411280"/>
      </c:lineChart>
      <c:catAx>
        <c:axId val="99241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11280"/>
        <c:crosses val="autoZero"/>
        <c:auto val="1"/>
        <c:lblAlgn val="ctr"/>
        <c:lblOffset val="100"/>
        <c:noMultiLvlLbl val="0"/>
      </c:catAx>
      <c:valAx>
        <c:axId val="99241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1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Achived</a:t>
            </a:r>
            <a:r>
              <a:rPr lang="en-IN" baseline="0"/>
              <a:t> Warps per SM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Sheet2!$N$2</c:f>
              <c:strCache>
                <c:ptCount val="1"/>
                <c:pt idx="0">
                  <c:v>base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Sheet2!$M$3:$M$10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Sheet2!$N$3:$N$10</c:f>
              <c:numCache>
                <c:formatCode>General</c:formatCode>
                <c:ptCount val="8"/>
                <c:pt idx="0">
                  <c:v>7.45</c:v>
                </c:pt>
                <c:pt idx="1">
                  <c:v>7.72</c:v>
                </c:pt>
                <c:pt idx="2">
                  <c:v>7.85</c:v>
                </c:pt>
                <c:pt idx="3">
                  <c:v>20.63</c:v>
                </c:pt>
                <c:pt idx="4">
                  <c:v>39.409999999999997</c:v>
                </c:pt>
                <c:pt idx="5">
                  <c:v>44.71</c:v>
                </c:pt>
                <c:pt idx="6">
                  <c:v>46.14</c:v>
                </c:pt>
                <c:pt idx="7">
                  <c:v>46.53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D-4E6D-ADB9-BA6289371DC7}"/>
            </c:ext>
          </c:extLst>
        </c:ser>
        <c:ser>
          <c:idx val="1"/>
          <c:order val="1"/>
          <c:tx>
            <c:strRef>
              <c:f>Sheet2!$O$2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Sheet2!$M$3:$M$10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Sheet2!$O$3:$O$10</c:f>
              <c:numCache>
                <c:formatCode>General</c:formatCode>
                <c:ptCount val="8"/>
                <c:pt idx="0">
                  <c:v>7.51</c:v>
                </c:pt>
                <c:pt idx="1">
                  <c:v>7.95</c:v>
                </c:pt>
                <c:pt idx="2">
                  <c:v>7.84</c:v>
                </c:pt>
                <c:pt idx="3">
                  <c:v>20.12</c:v>
                </c:pt>
                <c:pt idx="4">
                  <c:v>39.92</c:v>
                </c:pt>
                <c:pt idx="5">
                  <c:v>43.74</c:v>
                </c:pt>
                <c:pt idx="6">
                  <c:v>44.6</c:v>
                </c:pt>
                <c:pt idx="7">
                  <c:v>42.91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D-4E6D-ADB9-BA6289371DC7}"/>
            </c:ext>
          </c:extLst>
        </c:ser>
        <c:ser>
          <c:idx val="2"/>
          <c:order val="2"/>
          <c:tx>
            <c:strRef>
              <c:f>Sheet2!$P$2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Sheet2!$M$3:$M$10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Sheet2!$P$3:$P$10</c:f>
              <c:numCache>
                <c:formatCode>General</c:formatCode>
                <c:ptCount val="8"/>
                <c:pt idx="0">
                  <c:v>7.49</c:v>
                </c:pt>
                <c:pt idx="1">
                  <c:v>7.74</c:v>
                </c:pt>
                <c:pt idx="2">
                  <c:v>7.89</c:v>
                </c:pt>
                <c:pt idx="3">
                  <c:v>20.55</c:v>
                </c:pt>
                <c:pt idx="4">
                  <c:v>39.909999999999997</c:v>
                </c:pt>
                <c:pt idx="5">
                  <c:v>43.71</c:v>
                </c:pt>
                <c:pt idx="6">
                  <c:v>45.42</c:v>
                </c:pt>
                <c:pt idx="7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1D-4E6D-ADB9-BA6289371DC7}"/>
            </c:ext>
          </c:extLst>
        </c:ser>
        <c:ser>
          <c:idx val="3"/>
          <c:order val="3"/>
          <c:tx>
            <c:strRef>
              <c:f>Sheet2!$Q$2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Sheet2!$M$3:$M$10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Sheet2!$Q$3:$Q$10</c:f>
              <c:numCache>
                <c:formatCode>General</c:formatCode>
                <c:ptCount val="8"/>
                <c:pt idx="0">
                  <c:v>7.5</c:v>
                </c:pt>
                <c:pt idx="1">
                  <c:v>7.71</c:v>
                </c:pt>
                <c:pt idx="2">
                  <c:v>7.74</c:v>
                </c:pt>
                <c:pt idx="3">
                  <c:v>20.079999999999998</c:v>
                </c:pt>
                <c:pt idx="4">
                  <c:v>39.590000000000003</c:v>
                </c:pt>
                <c:pt idx="5">
                  <c:v>43.73</c:v>
                </c:pt>
                <c:pt idx="6">
                  <c:v>44.19</c:v>
                </c:pt>
                <c:pt idx="7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1D-4E6D-ADB9-BA6289371DC7}"/>
            </c:ext>
          </c:extLst>
        </c:ser>
        <c:ser>
          <c:idx val="4"/>
          <c:order val="4"/>
          <c:tx>
            <c:strRef>
              <c:f>Sheet2!$R$2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Sheet2!$M$3:$M$10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Sheet2!$R$3:$R$10</c:f>
              <c:numCache>
                <c:formatCode>General</c:formatCode>
                <c:ptCount val="8"/>
                <c:pt idx="0">
                  <c:v>7.29</c:v>
                </c:pt>
                <c:pt idx="1">
                  <c:v>7.79</c:v>
                </c:pt>
                <c:pt idx="2">
                  <c:v>7.75</c:v>
                </c:pt>
                <c:pt idx="3">
                  <c:v>20.64</c:v>
                </c:pt>
                <c:pt idx="4">
                  <c:v>21.59</c:v>
                </c:pt>
                <c:pt idx="5">
                  <c:v>22.58</c:v>
                </c:pt>
                <c:pt idx="6">
                  <c:v>22.96</c:v>
                </c:pt>
                <c:pt idx="7">
                  <c:v>23.05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1D-4E6D-ADB9-BA6289371DC7}"/>
            </c:ext>
          </c:extLst>
        </c:ser>
        <c:ser>
          <c:idx val="5"/>
          <c:order val="5"/>
          <c:tx>
            <c:strRef>
              <c:f>Sheet2!$S$2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Sheet2!$M$3:$M$10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Sheet2!$S$3:$S$10</c:f>
              <c:numCache>
                <c:formatCode>General</c:formatCode>
                <c:ptCount val="8"/>
                <c:pt idx="0">
                  <c:v>7.35</c:v>
                </c:pt>
                <c:pt idx="1">
                  <c:v>7.64</c:v>
                </c:pt>
                <c:pt idx="2">
                  <c:v>7.74</c:v>
                </c:pt>
                <c:pt idx="3">
                  <c:v>20.48</c:v>
                </c:pt>
                <c:pt idx="4">
                  <c:v>21.56</c:v>
                </c:pt>
                <c:pt idx="5">
                  <c:v>22.61</c:v>
                </c:pt>
                <c:pt idx="6">
                  <c:v>22.97</c:v>
                </c:pt>
                <c:pt idx="7">
                  <c:v>23.04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1D-4E6D-ADB9-BA6289371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410320"/>
        <c:axId val="987455008"/>
      </c:lineChart>
      <c:catAx>
        <c:axId val="9924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455008"/>
        <c:crosses val="autoZero"/>
        <c:auto val="1"/>
        <c:lblAlgn val="ctr"/>
        <c:lblOffset val="100"/>
        <c:noMultiLvlLbl val="0"/>
      </c:catAx>
      <c:valAx>
        <c:axId val="98745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1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dRAM</a:t>
            </a:r>
            <a:r>
              <a:rPr lang="en-IN" baseline="0"/>
              <a:t>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base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Sheet2!$A$14:$A$21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Sheet2!$B$14:$B$21</c:f>
              <c:numCache>
                <c:formatCode>General</c:formatCode>
                <c:ptCount val="8"/>
                <c:pt idx="0">
                  <c:v>0.38</c:v>
                </c:pt>
                <c:pt idx="1">
                  <c:v>0.92</c:v>
                </c:pt>
                <c:pt idx="2">
                  <c:v>2.9</c:v>
                </c:pt>
                <c:pt idx="3">
                  <c:v>7.72</c:v>
                </c:pt>
                <c:pt idx="4">
                  <c:v>11.35</c:v>
                </c:pt>
                <c:pt idx="5">
                  <c:v>18</c:v>
                </c:pt>
                <c:pt idx="6">
                  <c:v>37.39</c:v>
                </c:pt>
                <c:pt idx="7">
                  <c:v>42.45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41-4D93-ADDE-16D5FCC55F66}"/>
            </c:ext>
          </c:extLst>
        </c:ser>
        <c:ser>
          <c:idx val="1"/>
          <c:order val="1"/>
          <c:tx>
            <c:strRef>
              <c:f>Sheet2!$C$13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Sheet2!$A$14:$A$21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Sheet2!$C$14:$C$21</c:f>
              <c:numCache>
                <c:formatCode>General</c:formatCode>
                <c:ptCount val="8"/>
                <c:pt idx="0">
                  <c:v>0.62</c:v>
                </c:pt>
                <c:pt idx="1">
                  <c:v>1.56</c:v>
                </c:pt>
                <c:pt idx="2">
                  <c:v>4.88</c:v>
                </c:pt>
                <c:pt idx="3">
                  <c:v>13.33</c:v>
                </c:pt>
                <c:pt idx="4">
                  <c:v>20.75</c:v>
                </c:pt>
                <c:pt idx="5">
                  <c:v>33.28</c:v>
                </c:pt>
                <c:pt idx="6">
                  <c:v>70.36</c:v>
                </c:pt>
                <c:pt idx="7">
                  <c:v>78.989999999999995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41-4D93-ADDE-16D5FCC55F66}"/>
            </c:ext>
          </c:extLst>
        </c:ser>
        <c:ser>
          <c:idx val="2"/>
          <c:order val="2"/>
          <c:tx>
            <c:strRef>
              <c:f>Sheet2!$D$13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Sheet2!$A$14:$A$21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Sheet2!$D$14:$D$21</c:f>
              <c:numCache>
                <c:formatCode>General</c:formatCode>
                <c:ptCount val="8"/>
                <c:pt idx="0">
                  <c:v>0.62</c:v>
                </c:pt>
                <c:pt idx="1">
                  <c:v>1.57</c:v>
                </c:pt>
                <c:pt idx="2">
                  <c:v>4.67</c:v>
                </c:pt>
                <c:pt idx="3">
                  <c:v>13.49</c:v>
                </c:pt>
                <c:pt idx="4">
                  <c:v>20.82</c:v>
                </c:pt>
                <c:pt idx="5">
                  <c:v>33.020000000000003</c:v>
                </c:pt>
                <c:pt idx="6">
                  <c:v>70.05</c:v>
                </c:pt>
                <c:pt idx="7">
                  <c:v>79.11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41-4D93-ADDE-16D5FCC55F66}"/>
            </c:ext>
          </c:extLst>
        </c:ser>
        <c:ser>
          <c:idx val="3"/>
          <c:order val="3"/>
          <c:tx>
            <c:strRef>
              <c:f>Sheet2!$E$13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Sheet2!$A$14:$A$21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Sheet2!$E$14:$E$21</c:f>
              <c:numCache>
                <c:formatCode>General</c:formatCode>
                <c:ptCount val="8"/>
                <c:pt idx="0">
                  <c:v>0.6</c:v>
                </c:pt>
                <c:pt idx="1">
                  <c:v>1.58</c:v>
                </c:pt>
                <c:pt idx="2">
                  <c:v>4.9400000000000004</c:v>
                </c:pt>
                <c:pt idx="3">
                  <c:v>12.92</c:v>
                </c:pt>
                <c:pt idx="4">
                  <c:v>20.69</c:v>
                </c:pt>
                <c:pt idx="5">
                  <c:v>33.83</c:v>
                </c:pt>
                <c:pt idx="6">
                  <c:v>70.27</c:v>
                </c:pt>
                <c:pt idx="7">
                  <c:v>79.099999999999994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41-4D93-ADDE-16D5FCC55F66}"/>
            </c:ext>
          </c:extLst>
        </c:ser>
        <c:ser>
          <c:idx val="4"/>
          <c:order val="4"/>
          <c:tx>
            <c:strRef>
              <c:f>Sheet2!$F$13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Sheet2!$A$14:$A$21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Sheet2!$F$14:$F$21</c:f>
              <c:numCache>
                <c:formatCode>General</c:formatCode>
                <c:ptCount val="8"/>
                <c:pt idx="0">
                  <c:v>0.47</c:v>
                </c:pt>
                <c:pt idx="1">
                  <c:v>1.06</c:v>
                </c:pt>
                <c:pt idx="2">
                  <c:v>3.23</c:v>
                </c:pt>
                <c:pt idx="3">
                  <c:v>8.2799999999999994</c:v>
                </c:pt>
                <c:pt idx="4">
                  <c:v>9.8699999999999992</c:v>
                </c:pt>
                <c:pt idx="5">
                  <c:v>11.94</c:v>
                </c:pt>
                <c:pt idx="6">
                  <c:v>20.14</c:v>
                </c:pt>
                <c:pt idx="7">
                  <c:v>24.24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41-4D93-ADDE-16D5FCC55F66}"/>
            </c:ext>
          </c:extLst>
        </c:ser>
        <c:ser>
          <c:idx val="5"/>
          <c:order val="5"/>
          <c:tx>
            <c:strRef>
              <c:f>Sheet2!$G$13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Sheet2!$A$14:$A$21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Sheet2!$G$14:$G$21</c:f>
              <c:numCache>
                <c:formatCode>General</c:formatCode>
                <c:ptCount val="8"/>
                <c:pt idx="0">
                  <c:v>0.47</c:v>
                </c:pt>
                <c:pt idx="1">
                  <c:v>1.07</c:v>
                </c:pt>
                <c:pt idx="2">
                  <c:v>3.28</c:v>
                </c:pt>
                <c:pt idx="3">
                  <c:v>8.26</c:v>
                </c:pt>
                <c:pt idx="4">
                  <c:v>10.4</c:v>
                </c:pt>
                <c:pt idx="5">
                  <c:v>11.9</c:v>
                </c:pt>
                <c:pt idx="6">
                  <c:v>20.350000000000001</c:v>
                </c:pt>
                <c:pt idx="7">
                  <c:v>24.31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41-4D93-ADDE-16D5FCC5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404560"/>
        <c:axId val="992407440"/>
      </c:lineChart>
      <c:catAx>
        <c:axId val="99240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07440"/>
        <c:crosses val="autoZero"/>
        <c:auto val="1"/>
        <c:lblAlgn val="ctr"/>
        <c:lblOffset val="100"/>
        <c:noMultiLvlLbl val="0"/>
      </c:catAx>
      <c:valAx>
        <c:axId val="9924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0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TFLOPS(fp32)</a:t>
            </a:r>
            <a:r>
              <a:rPr lang="en-IN" baseline="0"/>
              <a:t> hardware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Sheet2!$N$24</c:f>
              <c:strCache>
                <c:ptCount val="1"/>
                <c:pt idx="0">
                  <c:v>base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Sheet2!$M$25:$M$32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Sheet2!$N$25:$N$32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9</c:v>
                </c:pt>
                <c:pt idx="4">
                  <c:v>13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8-4AC7-A873-3705697A6B6B}"/>
            </c:ext>
          </c:extLst>
        </c:ser>
        <c:ser>
          <c:idx val="1"/>
          <c:order val="1"/>
          <c:tx>
            <c:strRef>
              <c:f>Sheet2!$O$24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Sheet2!$M$25:$M$32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Sheet2!$O$25:$O$32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10</c:v>
                </c:pt>
                <c:pt idx="4">
                  <c:v>17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8-4AC7-A873-3705697A6B6B}"/>
            </c:ext>
          </c:extLst>
        </c:ser>
        <c:ser>
          <c:idx val="2"/>
          <c:order val="2"/>
          <c:tx>
            <c:strRef>
              <c:f>Sheet2!$P$24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Sheet2!$M$25:$M$32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Sheet2!$P$25:$P$32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10</c:v>
                </c:pt>
                <c:pt idx="4">
                  <c:v>17</c:v>
                </c:pt>
                <c:pt idx="5">
                  <c:v>21</c:v>
                </c:pt>
                <c:pt idx="6">
                  <c:v>23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28-4AC7-A873-3705697A6B6B}"/>
            </c:ext>
          </c:extLst>
        </c:ser>
        <c:ser>
          <c:idx val="3"/>
          <c:order val="3"/>
          <c:tx>
            <c:strRef>
              <c:f>Sheet2!$Q$24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Sheet2!$M$25:$M$32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Sheet2!$Q$25:$Q$32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10</c:v>
                </c:pt>
                <c:pt idx="4">
                  <c:v>17</c:v>
                </c:pt>
                <c:pt idx="5">
                  <c:v>21</c:v>
                </c:pt>
                <c:pt idx="6">
                  <c:v>23</c:v>
                </c:pt>
                <c:pt idx="7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28-4AC7-A873-3705697A6B6B}"/>
            </c:ext>
          </c:extLst>
        </c:ser>
        <c:ser>
          <c:idx val="4"/>
          <c:order val="4"/>
          <c:tx>
            <c:strRef>
              <c:f>Sheet2!$R$24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Sheet2!$M$25:$M$32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Sheet2!$R$25:$R$32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19</c:v>
                </c:pt>
                <c:pt idx="7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28-4AC7-A873-3705697A6B6B}"/>
            </c:ext>
          </c:extLst>
        </c:ser>
        <c:ser>
          <c:idx val="5"/>
          <c:order val="5"/>
          <c:tx>
            <c:strRef>
              <c:f>Sheet2!$S$24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Sheet2!$M$25:$M$32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Sheet2!$S$25:$S$32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18</c:v>
                </c:pt>
                <c:pt idx="7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28-4AC7-A873-3705697A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415328"/>
        <c:axId val="1115417728"/>
      </c:lineChart>
      <c:catAx>
        <c:axId val="111541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17728"/>
        <c:crosses val="autoZero"/>
        <c:auto val="1"/>
        <c:lblAlgn val="ctr"/>
        <c:lblOffset val="100"/>
        <c:noMultiLvlLbl val="0"/>
      </c:catAx>
      <c:valAx>
        <c:axId val="11154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1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SMPS</a:t>
            </a:r>
            <a:r>
              <a:rPr lang="en-IN" baseline="0"/>
              <a:t>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Sheet2!$B$35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Sheet2!$A$36:$A$43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Sheet2!$B$36:$B$43</c:f>
              <c:numCache>
                <c:formatCode>General</c:formatCode>
                <c:ptCount val="8"/>
                <c:pt idx="0">
                  <c:v>0.25</c:v>
                </c:pt>
                <c:pt idx="1">
                  <c:v>0.93</c:v>
                </c:pt>
                <c:pt idx="2">
                  <c:v>3.51</c:v>
                </c:pt>
                <c:pt idx="3">
                  <c:v>10.57</c:v>
                </c:pt>
                <c:pt idx="4">
                  <c:v>15.79</c:v>
                </c:pt>
                <c:pt idx="5">
                  <c:v>18.96</c:v>
                </c:pt>
                <c:pt idx="6">
                  <c:v>19.89</c:v>
                </c:pt>
                <c:pt idx="7">
                  <c:v>20.16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2-4809-8E05-7FDB90EE48A3}"/>
            </c:ext>
          </c:extLst>
        </c:ser>
        <c:ser>
          <c:idx val="1"/>
          <c:order val="1"/>
          <c:tx>
            <c:strRef>
              <c:f>Sheet2!$C$35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Sheet2!$A$36:$A$43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Sheet2!$C$36:$C$43</c:f>
              <c:numCache>
                <c:formatCode>General</c:formatCode>
                <c:ptCount val="8"/>
                <c:pt idx="0">
                  <c:v>0.33</c:v>
                </c:pt>
                <c:pt idx="1">
                  <c:v>1.21</c:v>
                </c:pt>
                <c:pt idx="2">
                  <c:v>4.57</c:v>
                </c:pt>
                <c:pt idx="3">
                  <c:v>14.15</c:v>
                </c:pt>
                <c:pt idx="4">
                  <c:v>24.16</c:v>
                </c:pt>
                <c:pt idx="5">
                  <c:v>30.74</c:v>
                </c:pt>
                <c:pt idx="6">
                  <c:v>31.63</c:v>
                </c:pt>
                <c:pt idx="7">
                  <c:v>30.68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32-4809-8E05-7FDB90EE48A3}"/>
            </c:ext>
          </c:extLst>
        </c:ser>
        <c:ser>
          <c:idx val="2"/>
          <c:order val="2"/>
          <c:tx>
            <c:strRef>
              <c:f>Sheet2!$D$35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Sheet2!$A$36:$A$43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Sheet2!$D$36:$D$43</c:f>
              <c:numCache>
                <c:formatCode>General</c:formatCode>
                <c:ptCount val="8"/>
                <c:pt idx="0">
                  <c:v>0.33</c:v>
                </c:pt>
                <c:pt idx="1">
                  <c:v>1.19</c:v>
                </c:pt>
                <c:pt idx="2">
                  <c:v>4.53</c:v>
                </c:pt>
                <c:pt idx="3">
                  <c:v>14.27</c:v>
                </c:pt>
                <c:pt idx="4">
                  <c:v>24.11</c:v>
                </c:pt>
                <c:pt idx="5">
                  <c:v>30.47</c:v>
                </c:pt>
                <c:pt idx="6">
                  <c:v>32.22</c:v>
                </c:pt>
                <c:pt idx="7">
                  <c:v>30.66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32-4809-8E05-7FDB90EE48A3}"/>
            </c:ext>
          </c:extLst>
        </c:ser>
        <c:ser>
          <c:idx val="3"/>
          <c:order val="3"/>
          <c:tx>
            <c:strRef>
              <c:f>Sheet2!$E$35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Sheet2!$A$36:$A$43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Sheet2!$E$36:$E$43</c:f>
              <c:numCache>
                <c:formatCode>General</c:formatCode>
                <c:ptCount val="8"/>
                <c:pt idx="0">
                  <c:v>0.32</c:v>
                </c:pt>
                <c:pt idx="1">
                  <c:v>1.17</c:v>
                </c:pt>
                <c:pt idx="2">
                  <c:v>4.5</c:v>
                </c:pt>
                <c:pt idx="3">
                  <c:v>13.82</c:v>
                </c:pt>
                <c:pt idx="4">
                  <c:v>24.06</c:v>
                </c:pt>
                <c:pt idx="5">
                  <c:v>30.62</c:v>
                </c:pt>
                <c:pt idx="6">
                  <c:v>32.18</c:v>
                </c:pt>
                <c:pt idx="7">
                  <c:v>30.72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32-4809-8E05-7FDB90EE48A3}"/>
            </c:ext>
          </c:extLst>
        </c:ser>
        <c:ser>
          <c:idx val="4"/>
          <c:order val="4"/>
          <c:tx>
            <c:strRef>
              <c:f>Sheet2!$F$35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Sheet2!$A$36:$A$43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Sheet2!$F$36:$F$43</c:f>
              <c:numCache>
                <c:formatCode>General</c:formatCode>
                <c:ptCount val="8"/>
                <c:pt idx="0">
                  <c:v>0.36</c:v>
                </c:pt>
                <c:pt idx="1">
                  <c:v>1.39</c:v>
                </c:pt>
                <c:pt idx="2">
                  <c:v>5.5</c:v>
                </c:pt>
                <c:pt idx="3">
                  <c:v>16.34</c:v>
                </c:pt>
                <c:pt idx="4">
                  <c:v>21.03</c:v>
                </c:pt>
                <c:pt idx="5">
                  <c:v>24.51</c:v>
                </c:pt>
                <c:pt idx="6">
                  <c:v>25.57</c:v>
                </c:pt>
                <c:pt idx="7">
                  <c:v>25.95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32-4809-8E05-7FDB90EE48A3}"/>
            </c:ext>
          </c:extLst>
        </c:ser>
        <c:ser>
          <c:idx val="5"/>
          <c:order val="5"/>
          <c:tx>
            <c:strRef>
              <c:f>Sheet2!$G$35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Sheet2!$A$36:$A$43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Sheet2!$G$36:$G$43</c:f>
              <c:numCache>
                <c:formatCode>General</c:formatCode>
                <c:ptCount val="8"/>
                <c:pt idx="0">
                  <c:v>0.36</c:v>
                </c:pt>
                <c:pt idx="1">
                  <c:v>1.41</c:v>
                </c:pt>
                <c:pt idx="2">
                  <c:v>5.5</c:v>
                </c:pt>
                <c:pt idx="3">
                  <c:v>16.28</c:v>
                </c:pt>
                <c:pt idx="4">
                  <c:v>20.56</c:v>
                </c:pt>
                <c:pt idx="5">
                  <c:v>24.39</c:v>
                </c:pt>
                <c:pt idx="6">
                  <c:v>25.52</c:v>
                </c:pt>
                <c:pt idx="7">
                  <c:v>25.96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32-4809-8E05-7FDB90EE4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406000"/>
        <c:axId val="992417520"/>
      </c:lineChart>
      <c:catAx>
        <c:axId val="99240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17520"/>
        <c:crosses val="autoZero"/>
        <c:auto val="1"/>
        <c:lblAlgn val="ctr"/>
        <c:lblOffset val="100"/>
        <c:noMultiLvlLbl val="0"/>
      </c:catAx>
      <c:valAx>
        <c:axId val="9924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0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Occupancy</a:t>
            </a:r>
            <a:r>
              <a:rPr lang="en-IN" baseline="0"/>
              <a:t>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Sheet2!$N$35</c:f>
              <c:strCache>
                <c:ptCount val="1"/>
                <c:pt idx="0">
                  <c:v>base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Sheet2!$M$36:$M$43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Sheet2!$N$36:$N$43</c:f>
              <c:numCache>
                <c:formatCode>General</c:formatCode>
                <c:ptCount val="8"/>
                <c:pt idx="0">
                  <c:v>15.52</c:v>
                </c:pt>
                <c:pt idx="1">
                  <c:v>16.079999999999998</c:v>
                </c:pt>
                <c:pt idx="2">
                  <c:v>16.350000000000001</c:v>
                </c:pt>
                <c:pt idx="3">
                  <c:v>42.99</c:v>
                </c:pt>
                <c:pt idx="4">
                  <c:v>82.11</c:v>
                </c:pt>
                <c:pt idx="5">
                  <c:v>93.15</c:v>
                </c:pt>
                <c:pt idx="6">
                  <c:v>96.13</c:v>
                </c:pt>
                <c:pt idx="7">
                  <c:v>96.93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6-426C-88DA-D67433FEC507}"/>
            </c:ext>
          </c:extLst>
        </c:ser>
        <c:ser>
          <c:idx val="1"/>
          <c:order val="1"/>
          <c:tx>
            <c:strRef>
              <c:f>Sheet2!$O$35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Sheet2!$M$36:$M$43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Sheet2!$O$36:$O$43</c:f>
              <c:numCache>
                <c:formatCode>General</c:formatCode>
                <c:ptCount val="8"/>
                <c:pt idx="0">
                  <c:v>15.65</c:v>
                </c:pt>
                <c:pt idx="1">
                  <c:v>16.559999999999999</c:v>
                </c:pt>
                <c:pt idx="2">
                  <c:v>16.329999999999998</c:v>
                </c:pt>
                <c:pt idx="3">
                  <c:v>41.91</c:v>
                </c:pt>
                <c:pt idx="4">
                  <c:v>83.17</c:v>
                </c:pt>
                <c:pt idx="5">
                  <c:v>91.12</c:v>
                </c:pt>
                <c:pt idx="6">
                  <c:v>92.92</c:v>
                </c:pt>
                <c:pt idx="7">
                  <c:v>89.39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6-426C-88DA-D67433FEC507}"/>
            </c:ext>
          </c:extLst>
        </c:ser>
        <c:ser>
          <c:idx val="2"/>
          <c:order val="2"/>
          <c:tx>
            <c:strRef>
              <c:f>Sheet2!$P$35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Sheet2!$M$36:$M$43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Sheet2!$P$36:$P$43</c:f>
              <c:numCache>
                <c:formatCode>General</c:formatCode>
                <c:ptCount val="8"/>
                <c:pt idx="0">
                  <c:v>15.61</c:v>
                </c:pt>
                <c:pt idx="1">
                  <c:v>16.12</c:v>
                </c:pt>
                <c:pt idx="2">
                  <c:v>16.43</c:v>
                </c:pt>
                <c:pt idx="3">
                  <c:v>42.81</c:v>
                </c:pt>
                <c:pt idx="4">
                  <c:v>81.89</c:v>
                </c:pt>
                <c:pt idx="5">
                  <c:v>91.06</c:v>
                </c:pt>
                <c:pt idx="6">
                  <c:v>95.63</c:v>
                </c:pt>
                <c:pt idx="7">
                  <c:v>89.58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6-426C-88DA-D67433FEC507}"/>
            </c:ext>
          </c:extLst>
        </c:ser>
        <c:ser>
          <c:idx val="3"/>
          <c:order val="3"/>
          <c:tx>
            <c:strRef>
              <c:f>Sheet2!$Q$35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Sheet2!$M$36:$M$43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Sheet2!$Q$36:$Q$43</c:f>
              <c:numCache>
                <c:formatCode>General</c:formatCode>
                <c:ptCount val="8"/>
                <c:pt idx="0">
                  <c:v>15.61</c:v>
                </c:pt>
                <c:pt idx="1">
                  <c:v>16.07</c:v>
                </c:pt>
                <c:pt idx="2">
                  <c:v>16.13</c:v>
                </c:pt>
                <c:pt idx="3">
                  <c:v>41.84</c:v>
                </c:pt>
                <c:pt idx="4">
                  <c:v>82.49</c:v>
                </c:pt>
                <c:pt idx="5">
                  <c:v>91.1</c:v>
                </c:pt>
                <c:pt idx="6">
                  <c:v>92.07</c:v>
                </c:pt>
                <c:pt idx="7">
                  <c:v>91.26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6-426C-88DA-D67433FEC507}"/>
            </c:ext>
          </c:extLst>
        </c:ser>
        <c:ser>
          <c:idx val="4"/>
          <c:order val="4"/>
          <c:tx>
            <c:strRef>
              <c:f>Sheet2!$R$35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Sheet2!$M$36:$M$43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Sheet2!$R$36:$R$43</c:f>
              <c:numCache>
                <c:formatCode>General</c:formatCode>
                <c:ptCount val="8"/>
                <c:pt idx="0">
                  <c:v>15.19</c:v>
                </c:pt>
                <c:pt idx="1">
                  <c:v>16.22</c:v>
                </c:pt>
                <c:pt idx="2">
                  <c:v>16.149999999999999</c:v>
                </c:pt>
                <c:pt idx="3">
                  <c:v>43</c:v>
                </c:pt>
                <c:pt idx="4">
                  <c:v>44.98</c:v>
                </c:pt>
                <c:pt idx="5">
                  <c:v>47.05</c:v>
                </c:pt>
                <c:pt idx="6">
                  <c:v>47.83</c:v>
                </c:pt>
                <c:pt idx="7">
                  <c:v>48.02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66-426C-88DA-D67433FEC507}"/>
            </c:ext>
          </c:extLst>
        </c:ser>
        <c:ser>
          <c:idx val="5"/>
          <c:order val="5"/>
          <c:tx>
            <c:strRef>
              <c:f>Sheet2!$S$35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Sheet2!$M$36:$M$43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Sheet2!$S$36:$S$43</c:f>
              <c:numCache>
                <c:formatCode>General</c:formatCode>
                <c:ptCount val="8"/>
                <c:pt idx="0">
                  <c:v>15.31</c:v>
                </c:pt>
                <c:pt idx="1">
                  <c:v>15.92</c:v>
                </c:pt>
                <c:pt idx="2">
                  <c:v>16.13</c:v>
                </c:pt>
                <c:pt idx="3">
                  <c:v>42.67</c:v>
                </c:pt>
                <c:pt idx="4">
                  <c:v>44.93</c:v>
                </c:pt>
                <c:pt idx="5">
                  <c:v>47.1</c:v>
                </c:pt>
                <c:pt idx="6">
                  <c:v>47.84</c:v>
                </c:pt>
                <c:pt idx="7">
                  <c:v>48.01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66-426C-88DA-D67433FEC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797072"/>
        <c:axId val="1123805232"/>
      </c:lineChart>
      <c:catAx>
        <c:axId val="11237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05232"/>
        <c:crosses val="autoZero"/>
        <c:auto val="1"/>
        <c:lblAlgn val="ctr"/>
        <c:lblOffset val="100"/>
        <c:noMultiLvlLbl val="0"/>
      </c:catAx>
      <c:valAx>
        <c:axId val="11238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Sheet2!$B$46</c:f>
              <c:strCache>
                <c:ptCount val="1"/>
                <c:pt idx="0">
                  <c:v>base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Sheet2!$A$47:$A$54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Sheet2!$B$47:$B$54</c:f>
              <c:numCache>
                <c:formatCode>General</c:formatCode>
                <c:ptCount val="8"/>
                <c:pt idx="0">
                  <c:v>6.7000000000000002E-3</c:v>
                </c:pt>
                <c:pt idx="1">
                  <c:v>1.3299999999999999E-2</c:v>
                </c:pt>
                <c:pt idx="2">
                  <c:v>2.4899999999999999E-2</c:v>
                </c:pt>
                <c:pt idx="3">
                  <c:v>5.21E-2</c:v>
                </c:pt>
                <c:pt idx="4">
                  <c:v>0.27660000000000001</c:v>
                </c:pt>
                <c:pt idx="5">
                  <c:v>2.3172000000000001</c:v>
                </c:pt>
                <c:pt idx="6">
                  <c:v>23.417400000000001</c:v>
                </c:pt>
                <c:pt idx="7">
                  <c:v>94.706699999999998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4-4BC2-A7EA-2FAB58442E29}"/>
            </c:ext>
          </c:extLst>
        </c:ser>
        <c:ser>
          <c:idx val="1"/>
          <c:order val="1"/>
          <c:tx>
            <c:strRef>
              <c:f>Sheet2!$C$46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Sheet2!$A$47:$A$54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Sheet2!$C$47:$C$54</c:f>
              <c:numCache>
                <c:formatCode>General</c:formatCode>
                <c:ptCount val="8"/>
                <c:pt idx="0">
                  <c:v>4.7999999999999996E-3</c:v>
                </c:pt>
                <c:pt idx="1">
                  <c:v>9.7000000000000003E-3</c:v>
                </c:pt>
                <c:pt idx="2">
                  <c:v>1.9199999999999998E-2</c:v>
                </c:pt>
                <c:pt idx="3">
                  <c:v>4.02E-2</c:v>
                </c:pt>
                <c:pt idx="4">
                  <c:v>8.2100000000000006E-2</c:v>
                </c:pt>
                <c:pt idx="5">
                  <c:v>0.43709999999999999</c:v>
                </c:pt>
                <c:pt idx="6">
                  <c:v>7.6021000000000001</c:v>
                </c:pt>
                <c:pt idx="7">
                  <c:v>105.2726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4-4BC2-A7EA-2FAB58442E29}"/>
            </c:ext>
          </c:extLst>
        </c:ser>
        <c:ser>
          <c:idx val="2"/>
          <c:order val="2"/>
          <c:tx>
            <c:strRef>
              <c:f>Sheet2!$D$46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Sheet2!$A$47:$A$54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Sheet2!$D$47:$D$54</c:f>
              <c:numCache>
                <c:formatCode>General</c:formatCode>
                <c:ptCount val="8"/>
                <c:pt idx="0">
                  <c:v>5.0000000000000001E-3</c:v>
                </c:pt>
                <c:pt idx="1">
                  <c:v>9.9000000000000008E-3</c:v>
                </c:pt>
                <c:pt idx="2">
                  <c:v>1.9599999999999999E-2</c:v>
                </c:pt>
                <c:pt idx="3">
                  <c:v>4.1099999999999998E-2</c:v>
                </c:pt>
                <c:pt idx="4">
                  <c:v>8.0699999999999994E-2</c:v>
                </c:pt>
                <c:pt idx="5">
                  <c:v>0.40820000000000001</c:v>
                </c:pt>
                <c:pt idx="6">
                  <c:v>6.6825999999999999</c:v>
                </c:pt>
                <c:pt idx="7">
                  <c:v>100.32389999999999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D4-4BC2-A7EA-2FAB58442E29}"/>
            </c:ext>
          </c:extLst>
        </c:ser>
        <c:ser>
          <c:idx val="3"/>
          <c:order val="3"/>
          <c:tx>
            <c:strRef>
              <c:f>Sheet2!$E$46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Sheet2!$A$47:$A$54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Sheet2!$E$47:$E$54</c:f>
              <c:numCache>
                <c:formatCode>General</c:formatCode>
                <c:ptCount val="8"/>
                <c:pt idx="0">
                  <c:v>4.8999999999999998E-3</c:v>
                </c:pt>
                <c:pt idx="1">
                  <c:v>0.01</c:v>
                </c:pt>
                <c:pt idx="2">
                  <c:v>1.9800000000000002E-2</c:v>
                </c:pt>
                <c:pt idx="3">
                  <c:v>4.07E-2</c:v>
                </c:pt>
                <c:pt idx="4">
                  <c:v>8.0199999999999994E-2</c:v>
                </c:pt>
                <c:pt idx="5">
                  <c:v>0.38590000000000002</c:v>
                </c:pt>
                <c:pt idx="6">
                  <c:v>6.4736000000000002</c:v>
                </c:pt>
                <c:pt idx="7">
                  <c:v>52.220999999999997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D4-4BC2-A7EA-2FAB58442E29}"/>
            </c:ext>
          </c:extLst>
        </c:ser>
        <c:ser>
          <c:idx val="4"/>
          <c:order val="4"/>
          <c:tx>
            <c:strRef>
              <c:f>Sheet2!$F$46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Sheet2!$A$47:$A$54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Sheet2!$F$47:$F$54</c:f>
              <c:numCache>
                <c:formatCode>General</c:formatCode>
                <c:ptCount val="8"/>
                <c:pt idx="0">
                  <c:v>3.3999999999999998E-3</c:v>
                </c:pt>
                <c:pt idx="1">
                  <c:v>7.0000000000000001E-3</c:v>
                </c:pt>
                <c:pt idx="2">
                  <c:v>1.38E-2</c:v>
                </c:pt>
                <c:pt idx="3">
                  <c:v>2.9100000000000001E-2</c:v>
                </c:pt>
                <c:pt idx="4">
                  <c:v>7.1499999999999994E-2</c:v>
                </c:pt>
                <c:pt idx="5">
                  <c:v>0.42720000000000002</c:v>
                </c:pt>
                <c:pt idx="6">
                  <c:v>4.3144</c:v>
                </c:pt>
                <c:pt idx="7">
                  <c:v>40.525199999999998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D4-4BC2-A7EA-2FAB58442E29}"/>
            </c:ext>
          </c:extLst>
        </c:ser>
        <c:ser>
          <c:idx val="5"/>
          <c:order val="5"/>
          <c:tx>
            <c:strRef>
              <c:f>Sheet2!$G$46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Sheet2!$A$47:$A$54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Sheet2!$G$47:$G$54</c:f>
              <c:numCache>
                <c:formatCode>General</c:formatCode>
                <c:ptCount val="8"/>
                <c:pt idx="0">
                  <c:v>9.7000000000000003E-3</c:v>
                </c:pt>
                <c:pt idx="1">
                  <c:v>1.8200000000000001E-2</c:v>
                </c:pt>
                <c:pt idx="2">
                  <c:v>3.6499999999999998E-2</c:v>
                </c:pt>
                <c:pt idx="3">
                  <c:v>7.3999999999999996E-2</c:v>
                </c:pt>
                <c:pt idx="4">
                  <c:v>0.19070000000000001</c:v>
                </c:pt>
                <c:pt idx="5">
                  <c:v>1.2410000000000001</c:v>
                </c:pt>
                <c:pt idx="6">
                  <c:v>12.299899999999999</c:v>
                </c:pt>
                <c:pt idx="7">
                  <c:v>151.81489999999999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D4-4BC2-A7EA-2FAB58442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472032"/>
        <c:axId val="1219465792"/>
      </c:lineChart>
      <c:catAx>
        <c:axId val="12194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465792"/>
        <c:crosses val="autoZero"/>
        <c:auto val="1"/>
        <c:lblAlgn val="ctr"/>
        <c:lblOffset val="100"/>
        <c:noMultiLvlLbl val="0"/>
      </c:catAx>
      <c:valAx>
        <c:axId val="121946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4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Memory</a:t>
            </a:r>
            <a:r>
              <a:rPr lang="en-IN" baseline="0"/>
              <a:t> Throughput (Tbytes/s)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Sheet2!$N$46</c:f>
              <c:strCache>
                <c:ptCount val="1"/>
                <c:pt idx="0">
                  <c:v>base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Sheet2!$M$47:$M$54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Sheet2!$N$47:$N$54</c:f>
              <c:numCache>
                <c:formatCode>General</c:formatCode>
                <c:ptCount val="8"/>
                <c:pt idx="0">
                  <c:v>6.45E-3</c:v>
                </c:pt>
                <c:pt idx="1">
                  <c:v>1.5710000000000002E-2</c:v>
                </c:pt>
                <c:pt idx="2">
                  <c:v>4.9340000000000002E-2</c:v>
                </c:pt>
                <c:pt idx="3">
                  <c:v>0.13181999999999999</c:v>
                </c:pt>
                <c:pt idx="4">
                  <c:v>0.19384999999999999</c:v>
                </c:pt>
                <c:pt idx="5">
                  <c:v>0.30754000000000004</c:v>
                </c:pt>
                <c:pt idx="6">
                  <c:v>0.63902000000000003</c:v>
                </c:pt>
                <c:pt idx="7">
                  <c:v>0.72550000000000003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CB2-80F1-74F8AEA4069F}"/>
            </c:ext>
          </c:extLst>
        </c:ser>
        <c:ser>
          <c:idx val="1"/>
          <c:order val="1"/>
          <c:tx>
            <c:strRef>
              <c:f>Sheet2!$O$46</c:f>
              <c:strCache>
                <c:ptCount val="1"/>
                <c:pt idx="0">
                  <c:v>opti1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Sheet2!$M$47:$M$54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Sheet2!$O$47:$O$54</c:f>
              <c:numCache>
                <c:formatCode>General</c:formatCode>
                <c:ptCount val="8"/>
                <c:pt idx="0">
                  <c:v>1.0539999999999999E-2</c:v>
                </c:pt>
                <c:pt idx="1">
                  <c:v>2.6409999999999999E-2</c:v>
                </c:pt>
                <c:pt idx="2">
                  <c:v>8.2810000000000009E-2</c:v>
                </c:pt>
                <c:pt idx="3">
                  <c:v>0.22744</c:v>
                </c:pt>
                <c:pt idx="4">
                  <c:v>0.35397000000000001</c:v>
                </c:pt>
                <c:pt idx="5">
                  <c:v>0.56845000000000001</c:v>
                </c:pt>
                <c:pt idx="6">
                  <c:v>1.2</c:v>
                </c:pt>
                <c:pt idx="7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CB2-80F1-74F8AEA4069F}"/>
            </c:ext>
          </c:extLst>
        </c:ser>
        <c:ser>
          <c:idx val="2"/>
          <c:order val="2"/>
          <c:tx>
            <c:strRef>
              <c:f>Sheet2!$P$46</c:f>
              <c:strCache>
                <c:ptCount val="1"/>
                <c:pt idx="0">
                  <c:v>opti2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Sheet2!$M$47:$M$54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Sheet2!$P$47:$P$54</c:f>
              <c:numCache>
                <c:formatCode>General</c:formatCode>
                <c:ptCount val="8"/>
                <c:pt idx="0">
                  <c:v>1.0490000000000001E-2</c:v>
                </c:pt>
                <c:pt idx="1">
                  <c:v>2.6760000000000003E-2</c:v>
                </c:pt>
                <c:pt idx="2">
                  <c:v>7.9209999999999989E-2</c:v>
                </c:pt>
                <c:pt idx="3">
                  <c:v>0.22892999999999999</c:v>
                </c:pt>
                <c:pt idx="4">
                  <c:v>0.35537999999999997</c:v>
                </c:pt>
                <c:pt idx="5">
                  <c:v>0.56420999999999999</c:v>
                </c:pt>
                <c:pt idx="6">
                  <c:v>1.2</c:v>
                </c:pt>
                <c:pt idx="7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CB2-80F1-74F8AEA4069F}"/>
            </c:ext>
          </c:extLst>
        </c:ser>
        <c:ser>
          <c:idx val="3"/>
          <c:order val="3"/>
          <c:tx>
            <c:strRef>
              <c:f>Sheet2!$Q$46</c:f>
              <c:strCache>
                <c:ptCount val="1"/>
                <c:pt idx="0">
                  <c:v>opti3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Sheet2!$M$47:$M$54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Sheet2!$Q$47:$Q$54</c:f>
              <c:numCache>
                <c:formatCode>General</c:formatCode>
                <c:ptCount val="8"/>
                <c:pt idx="0">
                  <c:v>1.009E-2</c:v>
                </c:pt>
                <c:pt idx="1">
                  <c:v>2.6929999999999999E-2</c:v>
                </c:pt>
                <c:pt idx="2">
                  <c:v>8.3809999999999996E-2</c:v>
                </c:pt>
                <c:pt idx="3">
                  <c:v>0.22015000000000001</c:v>
                </c:pt>
                <c:pt idx="4">
                  <c:v>0.35302</c:v>
                </c:pt>
                <c:pt idx="5">
                  <c:v>0.57784999999999997</c:v>
                </c:pt>
                <c:pt idx="6">
                  <c:v>1.2</c:v>
                </c:pt>
                <c:pt idx="7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2C-4CB2-80F1-74F8AEA4069F}"/>
            </c:ext>
          </c:extLst>
        </c:ser>
        <c:ser>
          <c:idx val="4"/>
          <c:order val="4"/>
          <c:tx>
            <c:strRef>
              <c:f>Sheet2!$R$46</c:f>
              <c:strCache>
                <c:ptCount val="1"/>
                <c:pt idx="0">
                  <c:v>opti4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Sheet2!$M$47:$M$54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Sheet2!$R$47:$R$54</c:f>
              <c:numCache>
                <c:formatCode>General</c:formatCode>
                <c:ptCount val="8"/>
                <c:pt idx="0">
                  <c:v>7.980000000000001E-3</c:v>
                </c:pt>
                <c:pt idx="1">
                  <c:v>1.7909999999999999E-2</c:v>
                </c:pt>
                <c:pt idx="2">
                  <c:v>5.5109999999999999E-2</c:v>
                </c:pt>
                <c:pt idx="3">
                  <c:v>0.14102999999999999</c:v>
                </c:pt>
                <c:pt idx="4">
                  <c:v>0.16866</c:v>
                </c:pt>
                <c:pt idx="5">
                  <c:v>0.20397000000000001</c:v>
                </c:pt>
                <c:pt idx="6">
                  <c:v>0.34420000000000001</c:v>
                </c:pt>
                <c:pt idx="7">
                  <c:v>0.4143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2C-4CB2-80F1-74F8AEA4069F}"/>
            </c:ext>
          </c:extLst>
        </c:ser>
        <c:ser>
          <c:idx val="5"/>
          <c:order val="5"/>
          <c:tx>
            <c:strRef>
              <c:f>Sheet2!$S$46</c:f>
              <c:strCache>
                <c:ptCount val="1"/>
                <c:pt idx="0">
                  <c:v>opti5_rk3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Sheet2!$M$47:$M$54</c:f>
              <c:strCache>
                <c:ptCount val="8"/>
                <c:pt idx="0">
                  <c:v>128X16</c:v>
                </c:pt>
                <c:pt idx="1">
                  <c:v>256X32</c:v>
                </c:pt>
                <c:pt idx="2">
                  <c:v>512X64</c:v>
                </c:pt>
                <c:pt idx="3">
                  <c:v>1024X128</c:v>
                </c:pt>
                <c:pt idx="4">
                  <c:v>2048X256</c:v>
                </c:pt>
                <c:pt idx="5">
                  <c:v>4096X512</c:v>
                </c:pt>
                <c:pt idx="6">
                  <c:v>8192X1024</c:v>
                </c:pt>
                <c:pt idx="7">
                  <c:v>16384X2048</c:v>
                </c:pt>
              </c:strCache>
            </c:strRef>
          </c:cat>
          <c:val>
            <c:numRef>
              <c:f>Sheet2!$S$47:$S$54</c:f>
              <c:numCache>
                <c:formatCode>General</c:formatCode>
                <c:ptCount val="8"/>
                <c:pt idx="0">
                  <c:v>7.9500000000000005E-3</c:v>
                </c:pt>
                <c:pt idx="1">
                  <c:v>1.821E-2</c:v>
                </c:pt>
                <c:pt idx="2">
                  <c:v>5.5759999999999997E-2</c:v>
                </c:pt>
                <c:pt idx="3">
                  <c:v>0.14071</c:v>
                </c:pt>
                <c:pt idx="4">
                  <c:v>0.17771000000000001</c:v>
                </c:pt>
                <c:pt idx="5">
                  <c:v>0.20327999999999999</c:v>
                </c:pt>
                <c:pt idx="6">
                  <c:v>0.34775</c:v>
                </c:pt>
                <c:pt idx="7">
                  <c:v>0.14541999999999999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2C-4CB2-80F1-74F8AEA4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472512"/>
        <c:axId val="1219468192"/>
      </c:lineChart>
      <c:catAx>
        <c:axId val="121947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468192"/>
        <c:crosses val="autoZero"/>
        <c:auto val="1"/>
        <c:lblAlgn val="ctr"/>
        <c:lblOffset val="100"/>
        <c:noMultiLvlLbl val="0"/>
      </c:catAx>
      <c:valAx>
        <c:axId val="121946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47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30526</xdr:colOff>
      <xdr:row>14</xdr:row>
      <xdr:rowOff>185737</xdr:rowOff>
    </xdr:from>
    <xdr:to>
      <xdr:col>33</xdr:col>
      <xdr:colOff>335326</xdr:colOff>
      <xdr:row>29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FC41E4-9F3C-AF71-E389-F991B2BB5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40051</xdr:colOff>
      <xdr:row>0</xdr:row>
      <xdr:rowOff>23812</xdr:rowOff>
    </xdr:from>
    <xdr:to>
      <xdr:col>33</xdr:col>
      <xdr:colOff>344851</xdr:colOff>
      <xdr:row>14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CD5021-BAC3-63C6-434D-F0A1571CA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497251</xdr:colOff>
      <xdr:row>0</xdr:row>
      <xdr:rowOff>0</xdr:rowOff>
    </xdr:from>
    <xdr:to>
      <xdr:col>41</xdr:col>
      <xdr:colOff>192451</xdr:colOff>
      <xdr:row>14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7EF7E7-12ED-090E-6306-AE4C7B2FC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335326</xdr:colOff>
      <xdr:row>0</xdr:row>
      <xdr:rowOff>0</xdr:rowOff>
    </xdr:from>
    <xdr:to>
      <xdr:col>49</xdr:col>
      <xdr:colOff>30527</xdr:colOff>
      <xdr:row>14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1B3798-39E8-1C7D-A4E7-98E9F5BD2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497251</xdr:colOff>
      <xdr:row>14</xdr:row>
      <xdr:rowOff>176212</xdr:rowOff>
    </xdr:from>
    <xdr:to>
      <xdr:col>41</xdr:col>
      <xdr:colOff>192451</xdr:colOff>
      <xdr:row>29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0CFACA-ECDE-3C59-F868-6127FA2A1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344851</xdr:colOff>
      <xdr:row>14</xdr:row>
      <xdr:rowOff>176212</xdr:rowOff>
    </xdr:from>
    <xdr:to>
      <xdr:col>49</xdr:col>
      <xdr:colOff>40052</xdr:colOff>
      <xdr:row>29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3A80F5-DB8B-A188-2C2B-6F62FAEB5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49576</xdr:colOff>
      <xdr:row>30</xdr:row>
      <xdr:rowOff>33337</xdr:rowOff>
    </xdr:from>
    <xdr:to>
      <xdr:col>33</xdr:col>
      <xdr:colOff>354376</xdr:colOff>
      <xdr:row>44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2444FD-EA26-B24F-4715-9718A01D9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468676</xdr:colOff>
      <xdr:row>29</xdr:row>
      <xdr:rowOff>185737</xdr:rowOff>
    </xdr:from>
    <xdr:to>
      <xdr:col>41</xdr:col>
      <xdr:colOff>163876</xdr:colOff>
      <xdr:row>44</xdr:row>
      <xdr:rowOff>61912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5F4787-577A-F1D9-78D3-C419DEF95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363901</xdr:colOff>
      <xdr:row>29</xdr:row>
      <xdr:rowOff>185737</xdr:rowOff>
    </xdr:from>
    <xdr:to>
      <xdr:col>49</xdr:col>
      <xdr:colOff>59102</xdr:colOff>
      <xdr:row>44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4D3688-F95F-FEA5-87FB-5E8BC3C9C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3148-F22C-4967-B0F3-AC29D7621964}">
  <dimension ref="A1:G49"/>
  <sheetViews>
    <sheetView topLeftCell="A36" workbookViewId="0">
      <selection activeCell="I41" sqref="I41"/>
    </sheetView>
  </sheetViews>
  <sheetFormatPr defaultRowHeight="15" x14ac:dyDescent="0.25"/>
  <cols>
    <col min="1" max="2" width="11" style="1" customWidth="1"/>
  </cols>
  <sheetData>
    <row r="1" spans="1:7" ht="15.75" x14ac:dyDescent="0.25">
      <c r="A1" s="3" t="s">
        <v>13</v>
      </c>
      <c r="B1" s="3"/>
      <c r="C1" s="4"/>
      <c r="D1" s="4"/>
      <c r="E1" s="4"/>
      <c r="F1" s="4"/>
      <c r="G1" s="4"/>
    </row>
    <row r="2" spans="1:7" s="1" customFormat="1" x14ac:dyDescent="0.25">
      <c r="A2" s="1" t="s">
        <v>0</v>
      </c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5">
      <c r="A3" s="1" t="s">
        <v>6</v>
      </c>
      <c r="C3">
        <v>1.9605999999999998E-2</v>
      </c>
      <c r="D3">
        <v>2.0015000000000002E-2</v>
      </c>
      <c r="E3">
        <v>1.9699999999999999E-2</v>
      </c>
      <c r="F3">
        <v>0.113617</v>
      </c>
      <c r="G3">
        <v>0.12609400000000001</v>
      </c>
    </row>
    <row r="4" spans="1:7" x14ac:dyDescent="0.25">
      <c r="A4" s="1" t="s">
        <v>7</v>
      </c>
      <c r="C4">
        <v>0.48857699999999998</v>
      </c>
      <c r="D4">
        <v>0.50167899999999999</v>
      </c>
      <c r="E4">
        <v>0.49680099999999999</v>
      </c>
      <c r="F4">
        <v>2.842708</v>
      </c>
      <c r="G4">
        <v>3.2130540000000001</v>
      </c>
    </row>
    <row r="5" spans="1:7" x14ac:dyDescent="0.25">
      <c r="A5" s="1" t="s">
        <v>8</v>
      </c>
      <c r="C5">
        <v>1.2260720000000001</v>
      </c>
      <c r="D5">
        <v>1.232594</v>
      </c>
      <c r="E5">
        <v>1.2450369999999999</v>
      </c>
      <c r="F5">
        <v>7.1934870000000002</v>
      </c>
      <c r="G5">
        <v>8.0565449999999998</v>
      </c>
    </row>
    <row r="6" spans="1:7" x14ac:dyDescent="0.25">
      <c r="A6" s="1" t="s">
        <v>9</v>
      </c>
      <c r="C6">
        <v>2.4089990000000001</v>
      </c>
      <c r="D6">
        <v>2.4381599999999999</v>
      </c>
      <c r="E6">
        <v>2.3665989999999999</v>
      </c>
      <c r="F6">
        <v>13.947751999999999</v>
      </c>
      <c r="G6">
        <v>15.620291999999999</v>
      </c>
    </row>
    <row r="7" spans="1:7" x14ac:dyDescent="0.25">
      <c r="A7" s="1" t="s">
        <v>10</v>
      </c>
      <c r="C7">
        <v>12.136926000000001</v>
      </c>
      <c r="D7">
        <v>12.175096</v>
      </c>
      <c r="E7">
        <v>12.138558</v>
      </c>
      <c r="F7">
        <v>57.030278000000003</v>
      </c>
      <c r="G7">
        <v>64.533208000000002</v>
      </c>
    </row>
    <row r="8" spans="1:7" x14ac:dyDescent="0.25">
      <c r="A8" s="1" t="s">
        <v>11</v>
      </c>
      <c r="C8">
        <v>22.151119999999999</v>
      </c>
      <c r="D8">
        <v>22.140131</v>
      </c>
      <c r="E8">
        <v>22.158411000000001</v>
      </c>
      <c r="F8">
        <v>70.985084000000001</v>
      </c>
      <c r="G8">
        <v>77.896468999999996</v>
      </c>
    </row>
    <row r="9" spans="1:7" x14ac:dyDescent="0.25">
      <c r="A9" s="1" t="s">
        <v>12</v>
      </c>
      <c r="C9">
        <v>11.471994</v>
      </c>
      <c r="D9">
        <v>11.471429000000001</v>
      </c>
      <c r="E9">
        <v>11.472154</v>
      </c>
      <c r="F9">
        <v>68.457438999999994</v>
      </c>
      <c r="G9">
        <v>76.700339999999997</v>
      </c>
    </row>
    <row r="11" spans="1:7" ht="15.75" x14ac:dyDescent="0.25">
      <c r="A11" s="3" t="s">
        <v>14</v>
      </c>
      <c r="B11" s="3"/>
      <c r="C11" s="4"/>
      <c r="D11" s="4"/>
      <c r="E11" s="4"/>
      <c r="F11" s="4"/>
      <c r="G11" s="4"/>
    </row>
    <row r="12" spans="1:7" x14ac:dyDescent="0.25">
      <c r="A12" s="1" t="s">
        <v>0</v>
      </c>
      <c r="B12" s="1" t="s">
        <v>18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</row>
    <row r="13" spans="1:7" x14ac:dyDescent="0.25">
      <c r="A13" s="1" t="s">
        <v>6</v>
      </c>
      <c r="C13">
        <v>0.42</v>
      </c>
      <c r="D13">
        <v>0.43</v>
      </c>
      <c r="E13">
        <v>0.42</v>
      </c>
      <c r="F13">
        <v>0.33</v>
      </c>
      <c r="G13">
        <v>0.34</v>
      </c>
    </row>
    <row r="14" spans="1:7" x14ac:dyDescent="0.25">
      <c r="A14" s="1" t="s">
        <v>7</v>
      </c>
      <c r="C14">
        <v>3.23</v>
      </c>
      <c r="D14">
        <v>3.25</v>
      </c>
      <c r="E14">
        <v>3.22</v>
      </c>
      <c r="F14">
        <v>2.11</v>
      </c>
      <c r="G14">
        <v>2.13</v>
      </c>
    </row>
    <row r="15" spans="1:7" x14ac:dyDescent="0.25">
      <c r="A15" s="1" t="s">
        <v>8</v>
      </c>
      <c r="C15">
        <v>6.49</v>
      </c>
      <c r="D15">
        <v>6.48</v>
      </c>
      <c r="E15">
        <v>6.5</v>
      </c>
      <c r="F15">
        <v>4.2</v>
      </c>
      <c r="G15">
        <v>4.2699999999999996</v>
      </c>
    </row>
    <row r="16" spans="1:7" x14ac:dyDescent="0.25">
      <c r="A16" s="1" t="s">
        <v>9</v>
      </c>
      <c r="C16">
        <v>10.63</v>
      </c>
      <c r="D16">
        <v>10.75</v>
      </c>
      <c r="E16">
        <v>10.74</v>
      </c>
      <c r="F16">
        <v>6.49</v>
      </c>
      <c r="G16">
        <v>6.35</v>
      </c>
    </row>
    <row r="17" spans="1:7" x14ac:dyDescent="0.25">
      <c r="A17" s="1" t="s">
        <v>10</v>
      </c>
      <c r="C17">
        <v>22.2</v>
      </c>
      <c r="D17">
        <v>21.48</v>
      </c>
      <c r="E17">
        <v>22.01</v>
      </c>
      <c r="F17">
        <v>10.31</v>
      </c>
      <c r="G17">
        <v>10.77</v>
      </c>
    </row>
    <row r="18" spans="1:7" x14ac:dyDescent="0.25">
      <c r="A18" s="1" t="s">
        <v>11</v>
      </c>
      <c r="C18">
        <v>24.94</v>
      </c>
      <c r="D18">
        <v>24.61</v>
      </c>
      <c r="E18">
        <v>24.76</v>
      </c>
      <c r="F18">
        <v>11.76</v>
      </c>
      <c r="G18">
        <v>11.47</v>
      </c>
    </row>
    <row r="19" spans="1:7" x14ac:dyDescent="0.25">
      <c r="A19" s="1" t="s">
        <v>12</v>
      </c>
      <c r="C19">
        <v>62.75</v>
      </c>
      <c r="D19">
        <v>63.77</v>
      </c>
      <c r="E19">
        <v>62.97</v>
      </c>
      <c r="F19">
        <v>17.440000000000001</v>
      </c>
      <c r="G19">
        <v>17.579999999999998</v>
      </c>
    </row>
    <row r="21" spans="1:7" ht="15.75" x14ac:dyDescent="0.25">
      <c r="A21" s="3" t="s">
        <v>15</v>
      </c>
      <c r="B21" s="3"/>
      <c r="C21" s="4"/>
      <c r="D21" s="4"/>
      <c r="E21" s="4"/>
      <c r="F21" s="4"/>
      <c r="G21" s="4"/>
    </row>
    <row r="22" spans="1:7" x14ac:dyDescent="0.25">
      <c r="A22" s="1" t="s">
        <v>0</v>
      </c>
      <c r="B22" s="1" t="s">
        <v>19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</row>
    <row r="23" spans="1:7" x14ac:dyDescent="0.25">
      <c r="A23" s="1" t="s">
        <v>6</v>
      </c>
      <c r="C23">
        <v>0.5</v>
      </c>
      <c r="D23">
        <v>0.49</v>
      </c>
      <c r="E23">
        <v>0.5</v>
      </c>
      <c r="F23">
        <v>0.59</v>
      </c>
      <c r="G23">
        <v>0.59</v>
      </c>
    </row>
    <row r="24" spans="1:7" x14ac:dyDescent="0.25">
      <c r="A24" s="1" t="s">
        <v>7</v>
      </c>
      <c r="C24">
        <v>8.4499999999999993</v>
      </c>
      <c r="D24">
        <v>8.44</v>
      </c>
      <c r="E24">
        <v>8.51</v>
      </c>
      <c r="F24">
        <v>10.43</v>
      </c>
      <c r="G24">
        <v>10.54</v>
      </c>
    </row>
    <row r="25" spans="1:7" x14ac:dyDescent="0.25">
      <c r="A25" s="1" t="s">
        <v>8</v>
      </c>
      <c r="C25">
        <v>18.55</v>
      </c>
      <c r="D25">
        <v>18.43</v>
      </c>
      <c r="E25">
        <v>18.37</v>
      </c>
      <c r="F25">
        <v>22.93</v>
      </c>
      <c r="G25">
        <v>22.94</v>
      </c>
    </row>
    <row r="26" spans="1:7" x14ac:dyDescent="0.25">
      <c r="A26" s="1" t="s">
        <v>9</v>
      </c>
      <c r="C26">
        <v>31.55</v>
      </c>
      <c r="D26">
        <v>31.57</v>
      </c>
      <c r="E26">
        <v>31.48</v>
      </c>
      <c r="F26">
        <v>37.78</v>
      </c>
      <c r="G26">
        <v>37.83</v>
      </c>
    </row>
    <row r="27" spans="1:7" x14ac:dyDescent="0.25">
      <c r="A27" s="1" t="s">
        <v>10</v>
      </c>
      <c r="C27">
        <v>67.94</v>
      </c>
      <c r="D27">
        <v>68.56</v>
      </c>
      <c r="E27">
        <v>68.13</v>
      </c>
      <c r="F27">
        <v>60.67</v>
      </c>
      <c r="G27">
        <v>61.96</v>
      </c>
    </row>
    <row r="28" spans="1:7" x14ac:dyDescent="0.25">
      <c r="A28" s="1" t="s">
        <v>11</v>
      </c>
      <c r="C28">
        <v>76.040000000000006</v>
      </c>
      <c r="D28">
        <v>76.58</v>
      </c>
      <c r="E28">
        <v>76.7</v>
      </c>
      <c r="F28">
        <v>66.91</v>
      </c>
      <c r="G28">
        <v>66.69</v>
      </c>
    </row>
    <row r="29" spans="1:7" x14ac:dyDescent="0.25">
      <c r="A29" s="1" t="s">
        <v>12</v>
      </c>
      <c r="C29">
        <v>86.6</v>
      </c>
      <c r="D29">
        <v>86.43</v>
      </c>
      <c r="E29">
        <v>86.49</v>
      </c>
      <c r="F29">
        <v>71.72</v>
      </c>
      <c r="G29">
        <v>71.75</v>
      </c>
    </row>
    <row r="31" spans="1:7" ht="15.75" x14ac:dyDescent="0.25">
      <c r="A31" s="3" t="s">
        <v>16</v>
      </c>
      <c r="B31" s="3"/>
      <c r="C31" s="4"/>
      <c r="D31" s="4"/>
      <c r="E31" s="4"/>
      <c r="F31" s="4"/>
      <c r="G31" s="4"/>
    </row>
    <row r="32" spans="1:7" x14ac:dyDescent="0.25">
      <c r="A32" s="1" t="s">
        <v>0</v>
      </c>
      <c r="B32" s="1" t="s">
        <v>19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</row>
    <row r="33" spans="1:7" x14ac:dyDescent="0.25">
      <c r="A33" s="1" t="s">
        <v>6</v>
      </c>
      <c r="C33">
        <v>0.15</v>
      </c>
      <c r="D33">
        <v>0.15</v>
      </c>
      <c r="E33">
        <v>0.15</v>
      </c>
      <c r="F33">
        <v>0.15</v>
      </c>
      <c r="G33">
        <v>0.15</v>
      </c>
    </row>
    <row r="34" spans="1:7" x14ac:dyDescent="0.25">
      <c r="A34" s="1" t="s">
        <v>7</v>
      </c>
      <c r="C34">
        <v>3.06</v>
      </c>
      <c r="D34">
        <v>3.06</v>
      </c>
      <c r="E34">
        <v>3.09</v>
      </c>
      <c r="F34">
        <v>3.56</v>
      </c>
      <c r="G34">
        <v>3.59</v>
      </c>
    </row>
    <row r="35" spans="1:7" x14ac:dyDescent="0.25">
      <c r="A35" s="1" t="s">
        <v>8</v>
      </c>
      <c r="C35">
        <v>6.73</v>
      </c>
      <c r="D35">
        <v>6.69</v>
      </c>
      <c r="E35">
        <v>6.67</v>
      </c>
      <c r="F35">
        <v>7.83</v>
      </c>
      <c r="G35">
        <v>7.83</v>
      </c>
    </row>
    <row r="36" spans="1:7" x14ac:dyDescent="0.25">
      <c r="A36" s="1" t="s">
        <v>9</v>
      </c>
      <c r="C36">
        <v>11.46</v>
      </c>
      <c r="D36">
        <v>11.47</v>
      </c>
      <c r="E36">
        <v>11.43</v>
      </c>
      <c r="F36">
        <v>12.91</v>
      </c>
      <c r="G36">
        <v>12.72</v>
      </c>
    </row>
    <row r="37" spans="1:7" x14ac:dyDescent="0.25">
      <c r="A37" s="1" t="s">
        <v>10</v>
      </c>
      <c r="C37">
        <v>24.72</v>
      </c>
      <c r="D37">
        <v>24.76</v>
      </c>
      <c r="E37">
        <v>24.75</v>
      </c>
      <c r="F37">
        <v>20.74</v>
      </c>
      <c r="G37">
        <v>21.18</v>
      </c>
    </row>
    <row r="38" spans="1:7" x14ac:dyDescent="0.25">
      <c r="A38" s="1" t="s">
        <v>11</v>
      </c>
      <c r="C38">
        <v>28.25</v>
      </c>
      <c r="D38">
        <v>28.45</v>
      </c>
      <c r="E38">
        <v>28.49</v>
      </c>
      <c r="F38">
        <v>23.69</v>
      </c>
      <c r="G38">
        <v>23.62</v>
      </c>
    </row>
    <row r="39" spans="1:7" x14ac:dyDescent="0.25">
      <c r="A39" s="1" t="s">
        <v>12</v>
      </c>
      <c r="C39">
        <v>32.18</v>
      </c>
      <c r="D39">
        <v>32.11</v>
      </c>
      <c r="E39">
        <v>32.14</v>
      </c>
      <c r="F39">
        <v>25.4</v>
      </c>
      <c r="G39">
        <v>25.41</v>
      </c>
    </row>
    <row r="41" spans="1:7" ht="15.75" x14ac:dyDescent="0.25">
      <c r="A41" s="3" t="s">
        <v>17</v>
      </c>
      <c r="B41" s="3"/>
      <c r="C41" s="4"/>
      <c r="D41" s="4"/>
      <c r="E41" s="4"/>
      <c r="F41" s="4"/>
      <c r="G41" s="4"/>
    </row>
    <row r="42" spans="1:7" x14ac:dyDescent="0.25">
      <c r="A42" s="1" t="s">
        <v>0</v>
      </c>
      <c r="B42" s="1" t="s">
        <v>18</v>
      </c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</row>
    <row r="43" spans="1:7" x14ac:dyDescent="0.25">
      <c r="A43" s="1" t="s">
        <v>6</v>
      </c>
      <c r="C43">
        <v>3.0999999999999999E-3</v>
      </c>
      <c r="D43">
        <v>3.0000000000000001E-3</v>
      </c>
      <c r="E43">
        <v>3.0999999999999999E-3</v>
      </c>
      <c r="F43">
        <v>2.0999999999999999E-3</v>
      </c>
      <c r="G43">
        <v>5.7999999999999996E-3</v>
      </c>
    </row>
    <row r="44" spans="1:7" x14ac:dyDescent="0.25">
      <c r="A44" s="1" t="s">
        <v>7</v>
      </c>
      <c r="C44">
        <v>7.7999999999999996E-3</v>
      </c>
      <c r="D44">
        <v>7.6E-3</v>
      </c>
      <c r="E44">
        <v>7.6E-3</v>
      </c>
      <c r="F44">
        <v>5.3E-3</v>
      </c>
      <c r="G44">
        <v>1.4200000000000001E-2</v>
      </c>
    </row>
    <row r="45" spans="1:7" x14ac:dyDescent="0.25">
      <c r="A45" s="1" t="s">
        <v>8</v>
      </c>
      <c r="C45">
        <v>1.9300000000000001E-2</v>
      </c>
      <c r="D45">
        <v>1.9199999999999998E-2</v>
      </c>
      <c r="E45">
        <v>1.9E-2</v>
      </c>
      <c r="F45">
        <v>1.32E-2</v>
      </c>
      <c r="G45">
        <v>3.5299999999999998E-2</v>
      </c>
    </row>
    <row r="46" spans="1:7" x14ac:dyDescent="0.25">
      <c r="A46" s="1" t="s">
        <v>9</v>
      </c>
      <c r="C46">
        <v>3.9300000000000002E-2</v>
      </c>
      <c r="D46">
        <v>3.8800000000000001E-2</v>
      </c>
      <c r="E46">
        <v>0.04</v>
      </c>
      <c r="F46">
        <v>2.7199999999999998E-2</v>
      </c>
      <c r="G46">
        <v>7.2800000000000004E-2</v>
      </c>
    </row>
    <row r="47" spans="1:7" x14ac:dyDescent="0.25">
      <c r="A47" s="1" t="s">
        <v>10</v>
      </c>
      <c r="C47">
        <v>0.19500000000000001</v>
      </c>
      <c r="D47">
        <v>0.19439999999999999</v>
      </c>
      <c r="E47">
        <v>0.19500000000000001</v>
      </c>
      <c r="F47">
        <v>0.16600000000000001</v>
      </c>
      <c r="G47">
        <v>0.44009999999999999</v>
      </c>
    </row>
    <row r="48" spans="1:7" x14ac:dyDescent="0.25">
      <c r="A48" s="1" t="s">
        <v>11</v>
      </c>
      <c r="C48">
        <v>4.2799999999999998E-2</v>
      </c>
      <c r="D48">
        <v>4.2799999999999998E-2</v>
      </c>
      <c r="E48">
        <v>4.2700000000000002E-2</v>
      </c>
      <c r="F48">
        <v>5.3400000000000003E-2</v>
      </c>
      <c r="G48">
        <v>0.1459</v>
      </c>
    </row>
    <row r="49" spans="1:7" x14ac:dyDescent="0.25">
      <c r="A49" s="1" t="s">
        <v>12</v>
      </c>
      <c r="C49">
        <v>2.0628000000000002</v>
      </c>
      <c r="D49">
        <v>2.0630000000000002</v>
      </c>
      <c r="E49">
        <v>2.0628000000000002</v>
      </c>
      <c r="F49">
        <v>1.3828</v>
      </c>
      <c r="G49">
        <v>3.7025000000000001</v>
      </c>
    </row>
  </sheetData>
  <mergeCells count="5">
    <mergeCell ref="A1:G1"/>
    <mergeCell ref="A11:G11"/>
    <mergeCell ref="A21:G21"/>
    <mergeCell ref="A31:G31"/>
    <mergeCell ref="A41:G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E393-9C81-4FC5-8EBB-07970B087549}">
  <dimension ref="A1:W54"/>
  <sheetViews>
    <sheetView tabSelected="1" zoomScale="106" zoomScaleNormal="100" workbookViewId="0">
      <selection activeCell="P48" sqref="P48"/>
    </sheetView>
  </sheetViews>
  <sheetFormatPr defaultRowHeight="15" x14ac:dyDescent="0.25"/>
  <cols>
    <col min="1" max="1" width="14.7109375" customWidth="1"/>
    <col min="8" max="8" width="10.5703125" customWidth="1"/>
    <col min="11" max="11" width="9.7109375" customWidth="1"/>
    <col min="13" max="13" width="12" customWidth="1"/>
    <col min="20" max="20" width="11.5703125" customWidth="1"/>
    <col min="23" max="23" width="10.28515625" customWidth="1"/>
  </cols>
  <sheetData>
    <row r="1" spans="1:23" ht="15.75" x14ac:dyDescent="0.25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M1" s="3" t="s">
        <v>30</v>
      </c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1" t="s">
        <v>0</v>
      </c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33</v>
      </c>
      <c r="I2" s="1" t="s">
        <v>34</v>
      </c>
      <c r="J2" s="1" t="s">
        <v>35</v>
      </c>
      <c r="K2" s="1" t="s">
        <v>44</v>
      </c>
      <c r="M2" s="1" t="s">
        <v>0</v>
      </c>
      <c r="N2" s="1" t="s">
        <v>18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33</v>
      </c>
      <c r="U2" s="1" t="s">
        <v>34</v>
      </c>
      <c r="V2" s="1" t="s">
        <v>35</v>
      </c>
      <c r="W2" s="1" t="s">
        <v>44</v>
      </c>
    </row>
    <row r="3" spans="1:23" x14ac:dyDescent="0.25">
      <c r="A3" s="1" t="s">
        <v>20</v>
      </c>
      <c r="B3" s="2">
        <v>3.7599E-2</v>
      </c>
      <c r="C3">
        <v>5.1942000000000002E-2</v>
      </c>
      <c r="D3">
        <v>4.9896000000000003E-2</v>
      </c>
      <c r="E3">
        <v>5.0971000000000002E-2</v>
      </c>
      <c r="F3">
        <v>0.292016</v>
      </c>
      <c r="G3">
        <v>0.32200699999999999</v>
      </c>
      <c r="H3">
        <v>0.220336</v>
      </c>
      <c r="I3">
        <v>0.22087000000000001</v>
      </c>
      <c r="J3">
        <v>0.224577</v>
      </c>
      <c r="K3">
        <v>0.22070300000000001</v>
      </c>
      <c r="M3" s="1" t="s">
        <v>20</v>
      </c>
      <c r="N3" s="2">
        <v>7.45</v>
      </c>
      <c r="O3" s="2">
        <v>7.51</v>
      </c>
      <c r="P3" s="2">
        <v>7.49</v>
      </c>
      <c r="Q3" s="2">
        <v>7.5</v>
      </c>
      <c r="R3" s="2">
        <v>7.29</v>
      </c>
      <c r="S3" s="2">
        <v>7.35</v>
      </c>
      <c r="T3" s="2">
        <v>7.39</v>
      </c>
      <c r="U3" s="2">
        <v>3.89</v>
      </c>
      <c r="V3" s="2">
        <v>7.22</v>
      </c>
      <c r="W3" s="2">
        <v>7.39</v>
      </c>
    </row>
    <row r="4" spans="1:23" x14ac:dyDescent="0.25">
      <c r="A4" s="1" t="s">
        <v>21</v>
      </c>
      <c r="B4" s="2">
        <v>0.14990500000000001</v>
      </c>
      <c r="C4">
        <v>0.204738</v>
      </c>
      <c r="D4">
        <v>0.20011999999999999</v>
      </c>
      <c r="E4">
        <v>0.19908500000000001</v>
      </c>
      <c r="F4">
        <v>1.138919</v>
      </c>
      <c r="G4">
        <v>1.310449</v>
      </c>
      <c r="H4">
        <v>0.88195000000000001</v>
      </c>
      <c r="I4">
        <v>0.86887899999999996</v>
      </c>
      <c r="J4">
        <v>0.87578999999999996</v>
      </c>
      <c r="K4">
        <v>0.88548000000000004</v>
      </c>
      <c r="M4" s="1" t="s">
        <v>21</v>
      </c>
      <c r="N4" s="2">
        <v>7.72</v>
      </c>
      <c r="O4" s="2">
        <v>7.95</v>
      </c>
      <c r="P4" s="2">
        <v>7.74</v>
      </c>
      <c r="Q4" s="2">
        <v>7.71</v>
      </c>
      <c r="R4" s="2">
        <v>7.79</v>
      </c>
      <c r="S4" s="2">
        <v>7.64</v>
      </c>
      <c r="T4" s="2">
        <v>7.75</v>
      </c>
      <c r="U4" s="2">
        <v>3.9</v>
      </c>
      <c r="V4" s="2">
        <v>7.84</v>
      </c>
      <c r="W4" s="2">
        <v>7.69</v>
      </c>
    </row>
    <row r="5" spans="1:23" x14ac:dyDescent="0.25">
      <c r="A5" s="1" t="s">
        <v>22</v>
      </c>
      <c r="B5" s="2">
        <v>0.63738700000000004</v>
      </c>
      <c r="C5">
        <v>0.82581199999999999</v>
      </c>
      <c r="D5">
        <v>0.81024300000000005</v>
      </c>
      <c r="E5">
        <v>0.80376599999999998</v>
      </c>
      <c r="F5">
        <v>4.5904480000000003</v>
      </c>
      <c r="G5">
        <v>5.2241090000000003</v>
      </c>
      <c r="H5">
        <v>3.4210579999999999</v>
      </c>
      <c r="I5">
        <v>3.5179623000000002</v>
      </c>
      <c r="J5">
        <v>3.5687760000000002</v>
      </c>
      <c r="K5">
        <v>3.545083</v>
      </c>
      <c r="M5" s="1" t="s">
        <v>22</v>
      </c>
      <c r="N5" s="2">
        <v>7.85</v>
      </c>
      <c r="O5" s="2">
        <v>7.84</v>
      </c>
      <c r="P5" s="2">
        <v>7.89</v>
      </c>
      <c r="Q5" s="2">
        <v>7.74</v>
      </c>
      <c r="R5" s="2">
        <v>7.75</v>
      </c>
      <c r="S5" s="2">
        <v>7.74</v>
      </c>
      <c r="T5" s="2">
        <v>7.93</v>
      </c>
      <c r="U5" s="2">
        <v>5.86</v>
      </c>
      <c r="V5" s="2">
        <v>7.81</v>
      </c>
      <c r="W5" s="2">
        <v>7.9</v>
      </c>
    </row>
    <row r="6" spans="1:23" x14ac:dyDescent="0.25">
      <c r="A6" s="1" t="s">
        <v>23</v>
      </c>
      <c r="B6" s="2">
        <v>2.4417369999999998</v>
      </c>
      <c r="C6">
        <v>3.1653859999999998</v>
      </c>
      <c r="D6">
        <v>3.090395</v>
      </c>
      <c r="E6">
        <v>3.1253150000000001</v>
      </c>
      <c r="F6">
        <v>17.449566999999998</v>
      </c>
      <c r="G6">
        <v>20.627804999999999</v>
      </c>
      <c r="H6">
        <v>14.221361999999999</v>
      </c>
      <c r="I6">
        <v>14.171004</v>
      </c>
      <c r="J6">
        <v>14.178414</v>
      </c>
      <c r="K6">
        <v>13.875949</v>
      </c>
      <c r="M6" s="1" t="s">
        <v>23</v>
      </c>
      <c r="N6" s="2">
        <v>20.63</v>
      </c>
      <c r="O6" s="2">
        <v>20.12</v>
      </c>
      <c r="P6" s="2">
        <v>20.55</v>
      </c>
      <c r="Q6" s="2">
        <v>20.079999999999998</v>
      </c>
      <c r="R6" s="2">
        <v>20.64</v>
      </c>
      <c r="S6" s="2">
        <v>20.48</v>
      </c>
      <c r="T6" s="2">
        <v>20.85</v>
      </c>
      <c r="U6" s="2">
        <v>20.38</v>
      </c>
      <c r="V6" s="2">
        <v>20.58</v>
      </c>
      <c r="W6" s="2">
        <v>20.73</v>
      </c>
    </row>
    <row r="7" spans="1:23" x14ac:dyDescent="0.25">
      <c r="A7" s="1" t="s">
        <v>24</v>
      </c>
      <c r="B7" s="2">
        <v>3.6758510000000002</v>
      </c>
      <c r="C7">
        <v>12.376474999999999</v>
      </c>
      <c r="D7">
        <v>12.596807999999999</v>
      </c>
      <c r="E7">
        <v>12.67055</v>
      </c>
      <c r="F7">
        <v>56.846018000000001</v>
      </c>
      <c r="G7">
        <v>63.960030000000003</v>
      </c>
      <c r="H7">
        <v>54.586964999999999</v>
      </c>
      <c r="I7">
        <v>55.145986999999998</v>
      </c>
      <c r="J7">
        <v>53.524689000000002</v>
      </c>
      <c r="K7">
        <v>53.784171999999998</v>
      </c>
      <c r="M7" s="1" t="s">
        <v>24</v>
      </c>
      <c r="N7" s="2">
        <v>39.409999999999997</v>
      </c>
      <c r="O7" s="2">
        <v>39.92</v>
      </c>
      <c r="P7" s="2">
        <v>39.909999999999997</v>
      </c>
      <c r="Q7" s="2">
        <v>39.590000000000003</v>
      </c>
      <c r="R7" s="2">
        <v>21.59</v>
      </c>
      <c r="S7" s="2">
        <v>21.56</v>
      </c>
      <c r="T7" s="2">
        <v>21.93</v>
      </c>
      <c r="U7" s="2">
        <v>21.71</v>
      </c>
      <c r="V7" s="2">
        <v>21.85</v>
      </c>
      <c r="W7" s="2">
        <v>21.77</v>
      </c>
    </row>
    <row r="8" spans="1:23" x14ac:dyDescent="0.25">
      <c r="A8" s="1" t="s">
        <v>25</v>
      </c>
      <c r="B8" s="2">
        <v>3.5088080000000001</v>
      </c>
      <c r="C8">
        <v>18.601899</v>
      </c>
      <c r="D8">
        <v>19.916799999999999</v>
      </c>
      <c r="E8">
        <v>21.069944</v>
      </c>
      <c r="F8">
        <v>76.126396</v>
      </c>
      <c r="G8">
        <v>78.618527999999998</v>
      </c>
      <c r="H8">
        <v>45.144016999999998</v>
      </c>
      <c r="I8">
        <v>67.783596000000003</v>
      </c>
      <c r="J8">
        <v>85.598132000000007</v>
      </c>
      <c r="K8">
        <v>84.696288999999993</v>
      </c>
      <c r="M8" s="1" t="s">
        <v>25</v>
      </c>
      <c r="N8" s="2">
        <v>44.71</v>
      </c>
      <c r="O8" s="2">
        <v>43.74</v>
      </c>
      <c r="P8" s="2">
        <v>43.71</v>
      </c>
      <c r="Q8" s="2">
        <v>43.73</v>
      </c>
      <c r="R8" s="2">
        <v>22.58</v>
      </c>
      <c r="S8" s="2">
        <v>22.61</v>
      </c>
      <c r="T8" s="2">
        <v>22.99</v>
      </c>
      <c r="U8" s="2">
        <v>22.97</v>
      </c>
      <c r="V8" s="2">
        <v>22.84</v>
      </c>
      <c r="W8" s="2">
        <v>22.91</v>
      </c>
    </row>
    <row r="9" spans="1:23" x14ac:dyDescent="0.25">
      <c r="A9" s="1" t="s">
        <v>26</v>
      </c>
      <c r="B9" s="2">
        <v>2.7776420000000002</v>
      </c>
      <c r="C9">
        <v>8.5562690000000003</v>
      </c>
      <c r="D9">
        <v>9.7334890000000005</v>
      </c>
      <c r="E9">
        <v>10.047841999999999</v>
      </c>
      <c r="F9">
        <v>60.305087</v>
      </c>
      <c r="G9">
        <v>63.459215999999998</v>
      </c>
      <c r="H9">
        <v>20.003547000000001</v>
      </c>
      <c r="I9">
        <v>68.771979999999999</v>
      </c>
      <c r="J9">
        <v>77.050753999999998</v>
      </c>
      <c r="K9">
        <v>74.781148999999999</v>
      </c>
      <c r="M9" s="1" t="s">
        <v>26</v>
      </c>
      <c r="N9" s="2">
        <v>46.14</v>
      </c>
      <c r="O9" s="2">
        <v>44.6</v>
      </c>
      <c r="P9" s="2">
        <v>45.42</v>
      </c>
      <c r="Q9" s="2">
        <v>44.19</v>
      </c>
      <c r="R9" s="2">
        <v>22.96</v>
      </c>
      <c r="S9" s="2">
        <v>22.97</v>
      </c>
      <c r="T9" s="2">
        <v>23.21</v>
      </c>
      <c r="U9" s="2">
        <v>23.21</v>
      </c>
      <c r="V9" s="2">
        <v>23.19</v>
      </c>
      <c r="W9" s="2">
        <v>22.32</v>
      </c>
    </row>
    <row r="10" spans="1:23" x14ac:dyDescent="0.25">
      <c r="A10" s="1" t="s">
        <v>27</v>
      </c>
      <c r="B10" s="2">
        <v>5.4955210000000001</v>
      </c>
      <c r="C10">
        <v>4.9439539999999997</v>
      </c>
      <c r="D10">
        <v>5.187824</v>
      </c>
      <c r="E10">
        <v>9.9665510000000008</v>
      </c>
      <c r="F10">
        <v>51.371814999999998</v>
      </c>
      <c r="G10">
        <v>41.139263999999997</v>
      </c>
      <c r="H10">
        <v>16.320274999999999</v>
      </c>
      <c r="I10">
        <v>51.665885000000003</v>
      </c>
      <c r="J10">
        <v>71.994962000000001</v>
      </c>
      <c r="K10">
        <v>73.185580999999999</v>
      </c>
      <c r="M10" s="1" t="s">
        <v>27</v>
      </c>
      <c r="N10" s="2">
        <v>46.53</v>
      </c>
      <c r="O10" s="2">
        <v>42.91</v>
      </c>
      <c r="P10" s="2">
        <v>43</v>
      </c>
      <c r="Q10" s="2">
        <v>43.8</v>
      </c>
      <c r="R10" s="2">
        <v>23.05</v>
      </c>
      <c r="S10" s="2">
        <v>23.04</v>
      </c>
      <c r="T10" s="2">
        <v>23.27</v>
      </c>
      <c r="U10" s="2">
        <v>23.4</v>
      </c>
      <c r="V10" s="2">
        <v>23.22</v>
      </c>
      <c r="W10" s="2">
        <v>23.22</v>
      </c>
    </row>
    <row r="11" spans="1:23" x14ac:dyDescent="0.25">
      <c r="A11" s="1"/>
      <c r="B11" s="1"/>
    </row>
    <row r="12" spans="1:23" ht="15.75" x14ac:dyDescent="0.25">
      <c r="A12" s="3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M12" s="3" t="s">
        <v>29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1" t="s">
        <v>0</v>
      </c>
      <c r="B13" s="1" t="s">
        <v>18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33</v>
      </c>
      <c r="I13" s="1" t="s">
        <v>34</v>
      </c>
      <c r="J13" s="1" t="s">
        <v>35</v>
      </c>
      <c r="K13" s="1" t="s">
        <v>44</v>
      </c>
      <c r="M13" s="1" t="s">
        <v>0</v>
      </c>
      <c r="N13" s="1" t="s">
        <v>18</v>
      </c>
      <c r="O13" s="1" t="s">
        <v>1</v>
      </c>
      <c r="P13" s="1" t="s">
        <v>2</v>
      </c>
      <c r="Q13" s="1" t="s">
        <v>3</v>
      </c>
      <c r="R13" s="1" t="s">
        <v>4</v>
      </c>
      <c r="S13" s="1" t="s">
        <v>5</v>
      </c>
      <c r="T13" s="1" t="s">
        <v>33</v>
      </c>
      <c r="U13" s="1" t="s">
        <v>34</v>
      </c>
      <c r="V13" s="1" t="s">
        <v>35</v>
      </c>
      <c r="W13" s="1" t="s">
        <v>44</v>
      </c>
    </row>
    <row r="14" spans="1:23" x14ac:dyDescent="0.25">
      <c r="A14" s="1" t="s">
        <v>20</v>
      </c>
      <c r="B14" s="2">
        <v>0.38</v>
      </c>
      <c r="C14">
        <v>0.62</v>
      </c>
      <c r="D14">
        <v>0.62</v>
      </c>
      <c r="E14">
        <v>0.6</v>
      </c>
      <c r="F14">
        <v>0.47</v>
      </c>
      <c r="G14">
        <v>0.47</v>
      </c>
      <c r="H14">
        <v>0.49</v>
      </c>
      <c r="I14">
        <v>0.51</v>
      </c>
      <c r="J14">
        <v>0.56000000000000005</v>
      </c>
      <c r="K14">
        <v>0.56000000000000005</v>
      </c>
      <c r="M14" s="1" t="s">
        <v>20</v>
      </c>
      <c r="N14" s="2"/>
    </row>
    <row r="15" spans="1:23" x14ac:dyDescent="0.25">
      <c r="A15" s="1" t="s">
        <v>21</v>
      </c>
      <c r="B15" s="2">
        <v>0.92</v>
      </c>
      <c r="C15">
        <v>1.56</v>
      </c>
      <c r="D15">
        <v>1.57</v>
      </c>
      <c r="E15">
        <v>1.58</v>
      </c>
      <c r="F15">
        <v>1.06</v>
      </c>
      <c r="G15">
        <v>1.07</v>
      </c>
      <c r="H15">
        <v>1.21</v>
      </c>
      <c r="I15">
        <v>1.1599999999999999</v>
      </c>
      <c r="J15">
        <v>1.28</v>
      </c>
      <c r="K15">
        <v>1.3</v>
      </c>
      <c r="M15" s="1" t="s">
        <v>21</v>
      </c>
      <c r="N15" s="2"/>
    </row>
    <row r="16" spans="1:23" x14ac:dyDescent="0.25">
      <c r="A16" s="1" t="s">
        <v>22</v>
      </c>
      <c r="B16" s="2">
        <v>2.9</v>
      </c>
      <c r="C16">
        <v>4.88</v>
      </c>
      <c r="D16">
        <v>4.67</v>
      </c>
      <c r="E16">
        <v>4.9400000000000004</v>
      </c>
      <c r="F16">
        <v>3.23</v>
      </c>
      <c r="G16">
        <v>3.28</v>
      </c>
      <c r="H16">
        <v>3.28</v>
      </c>
      <c r="I16">
        <v>3.4</v>
      </c>
      <c r="J16">
        <v>4.12</v>
      </c>
      <c r="K16">
        <v>4.16</v>
      </c>
      <c r="M16" s="1" t="s">
        <v>22</v>
      </c>
      <c r="N16" s="2"/>
    </row>
    <row r="17" spans="1:23" x14ac:dyDescent="0.25">
      <c r="A17" s="1" t="s">
        <v>23</v>
      </c>
      <c r="B17" s="2">
        <v>7.72</v>
      </c>
      <c r="C17">
        <v>13.33</v>
      </c>
      <c r="D17">
        <v>13.49</v>
      </c>
      <c r="E17">
        <v>12.92</v>
      </c>
      <c r="F17">
        <v>8.2799999999999994</v>
      </c>
      <c r="G17">
        <v>8.26</v>
      </c>
      <c r="H17">
        <v>8.5299999999999994</v>
      </c>
      <c r="I17">
        <v>7.83</v>
      </c>
      <c r="J17">
        <v>10.039999999999999</v>
      </c>
      <c r="K17">
        <v>10.14</v>
      </c>
      <c r="M17" s="1" t="s">
        <v>23</v>
      </c>
      <c r="N17" s="2"/>
    </row>
    <row r="18" spans="1:23" x14ac:dyDescent="0.25">
      <c r="A18" s="1" t="s">
        <v>24</v>
      </c>
      <c r="B18" s="2">
        <v>11.35</v>
      </c>
      <c r="C18">
        <v>20.75</v>
      </c>
      <c r="D18">
        <v>20.82</v>
      </c>
      <c r="E18">
        <v>20.69</v>
      </c>
      <c r="F18">
        <v>9.8699999999999992</v>
      </c>
      <c r="G18">
        <v>10.4</v>
      </c>
      <c r="H18">
        <v>10.38</v>
      </c>
      <c r="I18">
        <v>9.9499999999999993</v>
      </c>
      <c r="J18">
        <v>12.49</v>
      </c>
      <c r="K18">
        <v>12.78</v>
      </c>
      <c r="M18" s="1" t="s">
        <v>24</v>
      </c>
      <c r="N18" s="2"/>
    </row>
    <row r="19" spans="1:23" x14ac:dyDescent="0.25">
      <c r="A19" s="1" t="s">
        <v>25</v>
      </c>
      <c r="B19" s="2">
        <v>18</v>
      </c>
      <c r="C19">
        <v>33.28</v>
      </c>
      <c r="D19">
        <v>33.020000000000003</v>
      </c>
      <c r="E19">
        <v>33.83</v>
      </c>
      <c r="F19">
        <v>11.94</v>
      </c>
      <c r="G19">
        <v>11.9</v>
      </c>
      <c r="H19">
        <v>11.73</v>
      </c>
      <c r="I19">
        <v>10.97</v>
      </c>
      <c r="J19">
        <v>14.02</v>
      </c>
      <c r="K19">
        <v>14.43</v>
      </c>
      <c r="M19" s="1" t="s">
        <v>25</v>
      </c>
      <c r="N19" s="2"/>
    </row>
    <row r="20" spans="1:23" x14ac:dyDescent="0.25">
      <c r="A20" s="1" t="s">
        <v>26</v>
      </c>
      <c r="B20" s="2">
        <v>37.39</v>
      </c>
      <c r="C20">
        <v>70.36</v>
      </c>
      <c r="D20">
        <v>70.05</v>
      </c>
      <c r="E20">
        <v>70.27</v>
      </c>
      <c r="F20">
        <v>20.14</v>
      </c>
      <c r="G20">
        <v>20.350000000000001</v>
      </c>
      <c r="H20">
        <v>20.12</v>
      </c>
      <c r="I20">
        <v>18.399999999999999</v>
      </c>
      <c r="J20">
        <v>24.17</v>
      </c>
      <c r="K20">
        <v>24.49</v>
      </c>
      <c r="M20" s="1" t="s">
        <v>26</v>
      </c>
      <c r="N20" s="2"/>
    </row>
    <row r="21" spans="1:23" x14ac:dyDescent="0.25">
      <c r="A21" s="1" t="s">
        <v>27</v>
      </c>
      <c r="B21" s="2">
        <v>42.45</v>
      </c>
      <c r="C21">
        <v>78.989999999999995</v>
      </c>
      <c r="D21">
        <v>79.11</v>
      </c>
      <c r="E21">
        <v>79.099999999999994</v>
      </c>
      <c r="F21">
        <v>24.24</v>
      </c>
      <c r="G21">
        <v>24.31</v>
      </c>
      <c r="H21">
        <v>23.92</v>
      </c>
      <c r="I21">
        <v>21.99</v>
      </c>
      <c r="J21">
        <v>29.29</v>
      </c>
      <c r="K21">
        <v>29.65</v>
      </c>
      <c r="M21" s="1" t="s">
        <v>27</v>
      </c>
      <c r="N21" s="2"/>
    </row>
    <row r="22" spans="1:23" x14ac:dyDescent="0.25">
      <c r="A22" s="1"/>
      <c r="B22" s="1"/>
    </row>
    <row r="23" spans="1:23" ht="15.75" x14ac:dyDescent="0.25">
      <c r="A23" s="3" t="s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M23" s="3" t="s">
        <v>31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1" t="s">
        <v>0</v>
      </c>
      <c r="B24" s="1" t="s">
        <v>19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33</v>
      </c>
      <c r="I24" s="1" t="s">
        <v>34</v>
      </c>
      <c r="J24" s="1" t="s">
        <v>35</v>
      </c>
      <c r="K24" s="1" t="s">
        <v>44</v>
      </c>
      <c r="M24" s="1" t="s">
        <v>0</v>
      </c>
      <c r="N24" s="1" t="s">
        <v>18</v>
      </c>
      <c r="O24" s="1" t="s">
        <v>1</v>
      </c>
      <c r="P24" s="1" t="s">
        <v>2</v>
      </c>
      <c r="Q24" s="1" t="s">
        <v>3</v>
      </c>
      <c r="R24" s="1" t="s">
        <v>4</v>
      </c>
      <c r="S24" s="1" t="s">
        <v>5</v>
      </c>
      <c r="T24" s="1" t="s">
        <v>33</v>
      </c>
      <c r="U24" s="1" t="s">
        <v>34</v>
      </c>
      <c r="V24" s="1" t="s">
        <v>35</v>
      </c>
      <c r="W24" s="1" t="s">
        <v>44</v>
      </c>
    </row>
    <row r="25" spans="1:23" x14ac:dyDescent="0.25">
      <c r="A25" s="1" t="s">
        <v>20</v>
      </c>
      <c r="B25" s="2">
        <v>1.32</v>
      </c>
      <c r="C25">
        <v>1.03</v>
      </c>
      <c r="D25">
        <v>1.03</v>
      </c>
      <c r="E25">
        <v>1.01</v>
      </c>
      <c r="F25">
        <v>1.28</v>
      </c>
      <c r="G25">
        <v>1.28</v>
      </c>
      <c r="H25">
        <v>1.4</v>
      </c>
      <c r="I25">
        <v>1.48</v>
      </c>
      <c r="J25">
        <v>1.38</v>
      </c>
      <c r="K25">
        <v>1.37</v>
      </c>
      <c r="M25" s="1" t="s">
        <v>20</v>
      </c>
      <c r="N25" s="2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s="1" t="s">
        <v>21</v>
      </c>
      <c r="B26" s="2">
        <v>4.6100000000000003</v>
      </c>
      <c r="C26">
        <v>3.52</v>
      </c>
      <c r="D26">
        <v>3.45</v>
      </c>
      <c r="E26">
        <v>3.4</v>
      </c>
      <c r="F26">
        <v>4.42</v>
      </c>
      <c r="G26">
        <v>4.4800000000000004</v>
      </c>
      <c r="H26">
        <v>4.91</v>
      </c>
      <c r="I26">
        <v>5.28</v>
      </c>
      <c r="J26">
        <v>4.8600000000000003</v>
      </c>
      <c r="K26">
        <v>5.0199999999999996</v>
      </c>
      <c r="M26" s="1" t="s">
        <v>21</v>
      </c>
      <c r="N26" s="2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</row>
    <row r="27" spans="1:23" x14ac:dyDescent="0.25">
      <c r="A27" s="1" t="s">
        <v>22</v>
      </c>
      <c r="B27" s="2">
        <v>16.78</v>
      </c>
      <c r="C27">
        <v>12.76</v>
      </c>
      <c r="D27">
        <v>12.64</v>
      </c>
      <c r="E27">
        <v>12.58</v>
      </c>
      <c r="F27">
        <v>16.47</v>
      </c>
      <c r="G27">
        <v>16.440000000000001</v>
      </c>
      <c r="H27">
        <v>18.47</v>
      </c>
      <c r="I27">
        <v>18.7</v>
      </c>
      <c r="J27">
        <v>18.07</v>
      </c>
      <c r="K27">
        <v>18.260000000000002</v>
      </c>
      <c r="M27" s="1" t="s">
        <v>22</v>
      </c>
      <c r="N27" s="2">
        <v>3</v>
      </c>
      <c r="O27">
        <v>3</v>
      </c>
      <c r="P27">
        <v>3</v>
      </c>
      <c r="Q27">
        <v>3</v>
      </c>
      <c r="R27">
        <v>4</v>
      </c>
      <c r="S27">
        <v>4</v>
      </c>
      <c r="T27">
        <v>4</v>
      </c>
      <c r="U27">
        <v>4</v>
      </c>
      <c r="V27">
        <v>5</v>
      </c>
      <c r="W27">
        <v>5</v>
      </c>
    </row>
    <row r="28" spans="1:23" x14ac:dyDescent="0.25">
      <c r="A28" s="1" t="s">
        <v>23</v>
      </c>
      <c r="B28" s="2">
        <v>49.6</v>
      </c>
      <c r="C28">
        <v>38.74</v>
      </c>
      <c r="D28">
        <v>39.090000000000003</v>
      </c>
      <c r="E28">
        <v>37.840000000000003</v>
      </c>
      <c r="F28">
        <v>47.41</v>
      </c>
      <c r="G28">
        <v>47.24</v>
      </c>
      <c r="H28">
        <v>50.43</v>
      </c>
      <c r="I28">
        <v>47.71</v>
      </c>
      <c r="J28">
        <v>50.6</v>
      </c>
      <c r="K28">
        <v>50.04</v>
      </c>
      <c r="M28" s="1" t="s">
        <v>23</v>
      </c>
      <c r="N28" s="2">
        <v>9</v>
      </c>
      <c r="O28">
        <v>10</v>
      </c>
      <c r="P28">
        <v>10</v>
      </c>
      <c r="Q28">
        <v>10</v>
      </c>
      <c r="R28">
        <v>12</v>
      </c>
      <c r="S28">
        <v>12</v>
      </c>
      <c r="T28">
        <v>12</v>
      </c>
      <c r="U28">
        <v>11</v>
      </c>
      <c r="V28">
        <v>13</v>
      </c>
      <c r="W28">
        <v>13</v>
      </c>
    </row>
    <row r="29" spans="1:23" x14ac:dyDescent="0.25">
      <c r="A29" s="1" t="s">
        <v>24</v>
      </c>
      <c r="B29" s="2">
        <v>73.39</v>
      </c>
      <c r="C29">
        <v>65.52</v>
      </c>
      <c r="D29">
        <v>65.38</v>
      </c>
      <c r="E29">
        <v>65.239999999999995</v>
      </c>
      <c r="F29">
        <v>60.07</v>
      </c>
      <c r="G29">
        <v>58.73</v>
      </c>
      <c r="H29">
        <v>64.5</v>
      </c>
      <c r="I29">
        <v>62.55</v>
      </c>
      <c r="J29">
        <v>65.33</v>
      </c>
      <c r="K29">
        <v>64.959999999999994</v>
      </c>
      <c r="M29" s="1" t="s">
        <v>24</v>
      </c>
      <c r="N29" s="2">
        <v>13</v>
      </c>
      <c r="O29">
        <v>17</v>
      </c>
      <c r="P29">
        <v>17</v>
      </c>
      <c r="Q29">
        <v>17</v>
      </c>
      <c r="R29">
        <v>15</v>
      </c>
      <c r="S29">
        <v>15</v>
      </c>
      <c r="T29">
        <v>15</v>
      </c>
      <c r="U29">
        <v>15</v>
      </c>
      <c r="V29">
        <v>17</v>
      </c>
      <c r="W29">
        <v>17</v>
      </c>
    </row>
    <row r="30" spans="1:23" x14ac:dyDescent="0.25">
      <c r="A30" s="1" t="s">
        <v>25</v>
      </c>
      <c r="B30" s="2">
        <v>87.7</v>
      </c>
      <c r="C30">
        <v>82.94</v>
      </c>
      <c r="D30">
        <v>82.21</v>
      </c>
      <c r="E30">
        <v>82.61</v>
      </c>
      <c r="F30">
        <v>69.47</v>
      </c>
      <c r="G30">
        <v>69.13</v>
      </c>
      <c r="H30">
        <v>72.91</v>
      </c>
      <c r="I30">
        <v>68.27</v>
      </c>
      <c r="J30">
        <v>75.13</v>
      </c>
      <c r="K30">
        <v>74.64</v>
      </c>
      <c r="M30" s="1" t="s">
        <v>25</v>
      </c>
      <c r="N30" s="2">
        <v>16</v>
      </c>
      <c r="O30">
        <v>22</v>
      </c>
      <c r="P30">
        <v>21</v>
      </c>
      <c r="Q30">
        <v>21</v>
      </c>
      <c r="R30">
        <v>18</v>
      </c>
      <c r="S30">
        <v>18</v>
      </c>
      <c r="T30">
        <v>17</v>
      </c>
      <c r="U30">
        <v>16</v>
      </c>
      <c r="V30">
        <v>20</v>
      </c>
      <c r="W30">
        <v>20</v>
      </c>
    </row>
    <row r="31" spans="1:23" x14ac:dyDescent="0.25">
      <c r="A31" s="1" t="s">
        <v>26</v>
      </c>
      <c r="B31" s="2">
        <v>91.78</v>
      </c>
      <c r="C31">
        <v>85.13</v>
      </c>
      <c r="D31">
        <v>86.71</v>
      </c>
      <c r="E31">
        <v>86.59</v>
      </c>
      <c r="F31">
        <v>72.19</v>
      </c>
      <c r="G31">
        <v>72.06</v>
      </c>
      <c r="H31">
        <v>75.63</v>
      </c>
      <c r="I31">
        <v>69.67</v>
      </c>
      <c r="J31">
        <v>77.38</v>
      </c>
      <c r="K31">
        <v>77.36</v>
      </c>
      <c r="M31" s="1" t="s">
        <v>26</v>
      </c>
      <c r="N31" s="2">
        <v>16</v>
      </c>
      <c r="O31">
        <v>22</v>
      </c>
      <c r="P31">
        <v>23</v>
      </c>
      <c r="Q31">
        <v>23</v>
      </c>
      <c r="R31">
        <v>19</v>
      </c>
      <c r="S31">
        <v>18</v>
      </c>
      <c r="T31">
        <v>18</v>
      </c>
      <c r="U31">
        <v>17</v>
      </c>
      <c r="V31">
        <v>21</v>
      </c>
      <c r="W31">
        <v>21</v>
      </c>
    </row>
    <row r="32" spans="1:23" x14ac:dyDescent="0.25">
      <c r="A32" s="1" t="s">
        <v>27</v>
      </c>
      <c r="B32" s="2">
        <v>92.91</v>
      </c>
      <c r="C32">
        <v>82.47</v>
      </c>
      <c r="D32">
        <v>82.4</v>
      </c>
      <c r="E32">
        <v>82.58</v>
      </c>
      <c r="F32">
        <v>73.13</v>
      </c>
      <c r="G32">
        <v>73.150000000000006</v>
      </c>
      <c r="H32">
        <v>76.08</v>
      </c>
      <c r="I32">
        <v>69.98</v>
      </c>
      <c r="J32">
        <v>77.930000000000007</v>
      </c>
      <c r="K32">
        <v>77.900000000000006</v>
      </c>
      <c r="M32" s="1" t="s">
        <v>27</v>
      </c>
      <c r="N32" s="2">
        <v>17</v>
      </c>
      <c r="O32">
        <v>22</v>
      </c>
      <c r="P32">
        <v>22</v>
      </c>
      <c r="Q32">
        <v>22</v>
      </c>
      <c r="R32">
        <v>19</v>
      </c>
      <c r="S32">
        <v>19</v>
      </c>
      <c r="T32">
        <v>18</v>
      </c>
      <c r="U32">
        <v>17</v>
      </c>
      <c r="V32">
        <v>21</v>
      </c>
      <c r="W32">
        <v>21</v>
      </c>
    </row>
    <row r="33" spans="1:23" x14ac:dyDescent="0.25">
      <c r="A33" s="1"/>
      <c r="B33" s="1"/>
    </row>
    <row r="34" spans="1:23" ht="15.75" x14ac:dyDescent="0.25">
      <c r="A34" s="3" t="s">
        <v>16</v>
      </c>
      <c r="B34" s="3"/>
      <c r="C34" s="3"/>
      <c r="D34" s="3"/>
      <c r="E34" s="3"/>
      <c r="F34" s="3"/>
      <c r="G34" s="3"/>
      <c r="H34" s="3"/>
      <c r="I34" s="3"/>
      <c r="J34" s="3"/>
      <c r="K34" s="3"/>
      <c r="M34" s="3" t="s">
        <v>28</v>
      </c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x14ac:dyDescent="0.25">
      <c r="A35" s="1" t="s">
        <v>0</v>
      </c>
      <c r="B35" s="1" t="s">
        <v>19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33</v>
      </c>
      <c r="I35" s="1" t="s">
        <v>34</v>
      </c>
      <c r="J35" s="1" t="s">
        <v>35</v>
      </c>
      <c r="K35" s="1" t="s">
        <v>44</v>
      </c>
      <c r="M35" s="1" t="s">
        <v>0</v>
      </c>
      <c r="N35" s="1" t="s">
        <v>18</v>
      </c>
      <c r="O35" s="1" t="s">
        <v>1</v>
      </c>
      <c r="P35" s="1" t="s">
        <v>2</v>
      </c>
      <c r="Q35" s="1" t="s">
        <v>3</v>
      </c>
      <c r="R35" s="1" t="s">
        <v>4</v>
      </c>
      <c r="S35" s="1" t="s">
        <v>5</v>
      </c>
      <c r="T35" s="1" t="s">
        <v>33</v>
      </c>
      <c r="U35" s="1" t="s">
        <v>34</v>
      </c>
      <c r="V35" s="1" t="s">
        <v>35</v>
      </c>
      <c r="W35" s="1" t="s">
        <v>44</v>
      </c>
    </row>
    <row r="36" spans="1:23" x14ac:dyDescent="0.25">
      <c r="A36" s="1" t="s">
        <v>20</v>
      </c>
      <c r="B36" s="2">
        <v>0.25</v>
      </c>
      <c r="C36">
        <v>0.33</v>
      </c>
      <c r="D36">
        <v>0.33</v>
      </c>
      <c r="E36">
        <v>0.32</v>
      </c>
      <c r="F36">
        <v>0.36</v>
      </c>
      <c r="G36">
        <v>0.36</v>
      </c>
      <c r="H36">
        <v>0.37</v>
      </c>
      <c r="I36">
        <v>0.39</v>
      </c>
      <c r="J36">
        <v>0.41</v>
      </c>
      <c r="K36">
        <v>0.41</v>
      </c>
      <c r="M36" s="1" t="s">
        <v>20</v>
      </c>
      <c r="N36" s="2">
        <v>15.52</v>
      </c>
      <c r="O36">
        <v>15.65</v>
      </c>
      <c r="P36">
        <v>15.61</v>
      </c>
      <c r="Q36">
        <v>15.61</v>
      </c>
      <c r="R36">
        <v>15.19</v>
      </c>
      <c r="S36">
        <v>15.31</v>
      </c>
      <c r="T36">
        <v>15.39</v>
      </c>
      <c r="U36">
        <v>8.11</v>
      </c>
      <c r="V36">
        <v>15.05</v>
      </c>
      <c r="W36">
        <v>15.39</v>
      </c>
    </row>
    <row r="37" spans="1:23" x14ac:dyDescent="0.25">
      <c r="A37" s="1" t="s">
        <v>21</v>
      </c>
      <c r="B37" s="2">
        <v>0.93</v>
      </c>
      <c r="C37">
        <v>1.21</v>
      </c>
      <c r="D37">
        <v>1.19</v>
      </c>
      <c r="E37">
        <v>1.17</v>
      </c>
      <c r="F37">
        <v>1.39</v>
      </c>
      <c r="G37">
        <v>1.41</v>
      </c>
      <c r="H37">
        <v>1.45</v>
      </c>
      <c r="I37">
        <v>1.55</v>
      </c>
      <c r="J37">
        <v>1.63</v>
      </c>
      <c r="K37">
        <v>1.69</v>
      </c>
      <c r="M37" s="1" t="s">
        <v>21</v>
      </c>
      <c r="N37" s="2">
        <v>16.079999999999998</v>
      </c>
      <c r="O37">
        <v>16.559999999999999</v>
      </c>
      <c r="P37">
        <v>16.12</v>
      </c>
      <c r="Q37">
        <v>16.07</v>
      </c>
      <c r="R37">
        <v>16.22</v>
      </c>
      <c r="S37">
        <v>15.92</v>
      </c>
      <c r="T37">
        <v>16.149999999999999</v>
      </c>
      <c r="U37">
        <f>19.68</f>
        <v>19.68</v>
      </c>
      <c r="V37">
        <v>16.32</v>
      </c>
      <c r="W37">
        <v>16.02</v>
      </c>
    </row>
    <row r="38" spans="1:23" x14ac:dyDescent="0.25">
      <c r="A38" s="1" t="s">
        <v>22</v>
      </c>
      <c r="B38" s="2">
        <v>3.51</v>
      </c>
      <c r="C38">
        <v>4.57</v>
      </c>
      <c r="D38">
        <v>4.53</v>
      </c>
      <c r="E38">
        <v>4.5</v>
      </c>
      <c r="F38">
        <v>5.5</v>
      </c>
      <c r="G38">
        <v>5.5</v>
      </c>
      <c r="H38">
        <v>5.78</v>
      </c>
      <c r="I38">
        <v>5.85</v>
      </c>
      <c r="J38">
        <v>6.45</v>
      </c>
      <c r="K38">
        <v>6.52</v>
      </c>
      <c r="M38" s="1" t="s">
        <v>22</v>
      </c>
      <c r="N38" s="2">
        <v>16.350000000000001</v>
      </c>
      <c r="O38">
        <v>16.329999999999998</v>
      </c>
      <c r="P38">
        <v>16.43</v>
      </c>
      <c r="Q38">
        <v>16.13</v>
      </c>
      <c r="R38">
        <v>16.149999999999999</v>
      </c>
      <c r="S38">
        <v>16.13</v>
      </c>
      <c r="T38">
        <v>16.53</v>
      </c>
      <c r="U38">
        <v>12.21</v>
      </c>
      <c r="V38">
        <v>16.260000000000002</v>
      </c>
      <c r="W38">
        <v>16.45</v>
      </c>
    </row>
    <row r="39" spans="1:23" x14ac:dyDescent="0.25">
      <c r="A39" s="1" t="s">
        <v>23</v>
      </c>
      <c r="B39" s="2">
        <v>10.57</v>
      </c>
      <c r="C39">
        <v>14.15</v>
      </c>
      <c r="D39">
        <v>14.27</v>
      </c>
      <c r="E39">
        <v>13.82</v>
      </c>
      <c r="F39">
        <v>16.34</v>
      </c>
      <c r="G39">
        <v>16.28</v>
      </c>
      <c r="H39">
        <v>16.28</v>
      </c>
      <c r="I39">
        <v>15.38</v>
      </c>
      <c r="J39">
        <v>18.64</v>
      </c>
      <c r="K39">
        <v>18.440000000000001</v>
      </c>
      <c r="M39" s="1" t="s">
        <v>23</v>
      </c>
      <c r="N39" s="2">
        <v>42.99</v>
      </c>
      <c r="O39">
        <v>41.91</v>
      </c>
      <c r="P39">
        <v>42.81</v>
      </c>
      <c r="Q39">
        <v>41.84</v>
      </c>
      <c r="R39">
        <v>43</v>
      </c>
      <c r="S39">
        <v>42.67</v>
      </c>
      <c r="T39">
        <v>43.45</v>
      </c>
      <c r="U39">
        <v>42.46</v>
      </c>
      <c r="V39">
        <v>42.88</v>
      </c>
      <c r="W39">
        <v>43.2</v>
      </c>
    </row>
    <row r="40" spans="1:23" x14ac:dyDescent="0.25">
      <c r="A40" s="1" t="s">
        <v>24</v>
      </c>
      <c r="B40" s="2">
        <v>15.79</v>
      </c>
      <c r="C40">
        <v>24.16</v>
      </c>
      <c r="D40">
        <v>24.11</v>
      </c>
      <c r="E40">
        <v>24.06</v>
      </c>
      <c r="F40">
        <v>21.03</v>
      </c>
      <c r="G40">
        <v>20.56</v>
      </c>
      <c r="H40">
        <v>21.15</v>
      </c>
      <c r="I40">
        <v>20.48</v>
      </c>
      <c r="J40">
        <v>24.45</v>
      </c>
      <c r="K40">
        <v>24.31</v>
      </c>
      <c r="M40" s="1" t="s">
        <v>24</v>
      </c>
      <c r="N40" s="2">
        <v>82.11</v>
      </c>
      <c r="O40">
        <v>83.17</v>
      </c>
      <c r="P40">
        <v>81.89</v>
      </c>
      <c r="Q40">
        <v>82.49</v>
      </c>
      <c r="R40">
        <v>44.98</v>
      </c>
      <c r="S40">
        <v>44.93</v>
      </c>
      <c r="T40">
        <v>45.68</v>
      </c>
      <c r="U40">
        <v>45.23</v>
      </c>
      <c r="V40">
        <v>45.53</v>
      </c>
      <c r="W40">
        <v>45.35</v>
      </c>
    </row>
    <row r="41" spans="1:23" x14ac:dyDescent="0.25">
      <c r="A41" s="1" t="s">
        <v>25</v>
      </c>
      <c r="B41" s="2">
        <v>18.96</v>
      </c>
      <c r="C41">
        <v>30.74</v>
      </c>
      <c r="D41">
        <v>30.47</v>
      </c>
      <c r="E41">
        <v>30.62</v>
      </c>
      <c r="F41">
        <v>24.51</v>
      </c>
      <c r="G41">
        <v>24.39</v>
      </c>
      <c r="H41">
        <v>24.09</v>
      </c>
      <c r="I41">
        <v>22.53</v>
      </c>
      <c r="J41">
        <v>28.34</v>
      </c>
      <c r="K41">
        <v>28.15</v>
      </c>
      <c r="M41" s="1" t="s">
        <v>25</v>
      </c>
      <c r="N41" s="2">
        <v>93.15</v>
      </c>
      <c r="O41">
        <v>91.12</v>
      </c>
      <c r="P41">
        <v>91.06</v>
      </c>
      <c r="Q41">
        <v>91.1</v>
      </c>
      <c r="R41">
        <v>47.05</v>
      </c>
      <c r="S41">
        <v>47.1</v>
      </c>
      <c r="T41">
        <v>47.89</v>
      </c>
      <c r="U41">
        <v>47.85</v>
      </c>
      <c r="V41">
        <v>47.59</v>
      </c>
      <c r="W41">
        <v>47.74</v>
      </c>
    </row>
    <row r="42" spans="1:23" x14ac:dyDescent="0.25">
      <c r="A42" s="1" t="s">
        <v>26</v>
      </c>
      <c r="B42" s="2">
        <v>19.89</v>
      </c>
      <c r="C42">
        <v>31.63</v>
      </c>
      <c r="D42">
        <v>32.22</v>
      </c>
      <c r="E42">
        <v>32.18</v>
      </c>
      <c r="F42">
        <v>25.57</v>
      </c>
      <c r="G42">
        <v>25.52</v>
      </c>
      <c r="H42">
        <v>25.09</v>
      </c>
      <c r="I42">
        <v>23.08</v>
      </c>
      <c r="J42">
        <v>29.3</v>
      </c>
      <c r="K42">
        <v>29.29</v>
      </c>
      <c r="M42" s="1" t="s">
        <v>26</v>
      </c>
      <c r="N42" s="2">
        <v>96.13</v>
      </c>
      <c r="O42">
        <v>92.92</v>
      </c>
      <c r="P42">
        <v>95.63</v>
      </c>
      <c r="Q42">
        <v>92.07</v>
      </c>
      <c r="R42">
        <v>47.83</v>
      </c>
      <c r="S42">
        <v>47.84</v>
      </c>
      <c r="T42">
        <v>48.36</v>
      </c>
      <c r="U42">
        <v>48.56</v>
      </c>
      <c r="V42">
        <v>48.32</v>
      </c>
      <c r="W42">
        <v>48.33</v>
      </c>
    </row>
    <row r="43" spans="1:23" x14ac:dyDescent="0.25">
      <c r="A43" s="1" t="s">
        <v>27</v>
      </c>
      <c r="B43" s="2">
        <v>20.16</v>
      </c>
      <c r="C43">
        <v>30.68</v>
      </c>
      <c r="D43">
        <v>30.66</v>
      </c>
      <c r="E43">
        <v>30.72</v>
      </c>
      <c r="F43">
        <v>25.95</v>
      </c>
      <c r="G43">
        <v>25.96</v>
      </c>
      <c r="H43">
        <v>25.29</v>
      </c>
      <c r="I43">
        <v>23.23</v>
      </c>
      <c r="J43">
        <v>29.57</v>
      </c>
      <c r="K43">
        <v>29.56</v>
      </c>
      <c r="M43" s="1" t="s">
        <v>27</v>
      </c>
      <c r="N43" s="2">
        <v>96.93</v>
      </c>
      <c r="O43">
        <v>89.39</v>
      </c>
      <c r="P43">
        <v>89.58</v>
      </c>
      <c r="Q43">
        <v>91.26</v>
      </c>
      <c r="R43">
        <v>48.02</v>
      </c>
      <c r="S43">
        <v>48.01</v>
      </c>
      <c r="T43">
        <v>48.48</v>
      </c>
      <c r="U43">
        <v>48.75</v>
      </c>
      <c r="V43">
        <v>48.38</v>
      </c>
      <c r="W43">
        <v>48.38</v>
      </c>
    </row>
    <row r="44" spans="1:23" x14ac:dyDescent="0.25">
      <c r="A44" s="1"/>
      <c r="B44" s="1"/>
    </row>
    <row r="45" spans="1:23" ht="15.75" x14ac:dyDescent="0.25">
      <c r="A45" s="3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M45" s="3" t="s">
        <v>32</v>
      </c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x14ac:dyDescent="0.25">
      <c r="A46" s="1" t="s">
        <v>0</v>
      </c>
      <c r="B46" s="1" t="s">
        <v>18</v>
      </c>
      <c r="C46" s="1" t="s">
        <v>1</v>
      </c>
      <c r="D46" s="1" t="s">
        <v>2</v>
      </c>
      <c r="E46" s="1" t="s">
        <v>3</v>
      </c>
      <c r="F46" s="1" t="s">
        <v>4</v>
      </c>
      <c r="G46" s="1" t="s">
        <v>5</v>
      </c>
      <c r="H46" s="1" t="s">
        <v>33</v>
      </c>
      <c r="I46" s="1" t="s">
        <v>34</v>
      </c>
      <c r="J46" s="1" t="s">
        <v>35</v>
      </c>
      <c r="K46" s="1" t="s">
        <v>44</v>
      </c>
      <c r="M46" s="1" t="s">
        <v>0</v>
      </c>
      <c r="N46" s="1" t="s">
        <v>18</v>
      </c>
      <c r="O46" s="1" t="s">
        <v>1</v>
      </c>
      <c r="P46" s="1" t="s">
        <v>2</v>
      </c>
      <c r="Q46" s="1" t="s">
        <v>3</v>
      </c>
      <c r="R46" s="1" t="s">
        <v>4</v>
      </c>
      <c r="S46" s="1" t="s">
        <v>5</v>
      </c>
      <c r="T46" s="1" t="s">
        <v>33</v>
      </c>
      <c r="U46" s="1" t="s">
        <v>34</v>
      </c>
      <c r="V46" s="1" t="s">
        <v>35</v>
      </c>
      <c r="W46" s="1" t="s">
        <v>44</v>
      </c>
    </row>
    <row r="47" spans="1:23" x14ac:dyDescent="0.25">
      <c r="A47" s="1" t="s">
        <v>20</v>
      </c>
      <c r="B47" s="2">
        <v>6.7000000000000002E-3</v>
      </c>
      <c r="C47">
        <v>4.7999999999999996E-3</v>
      </c>
      <c r="D47">
        <v>5.0000000000000001E-3</v>
      </c>
      <c r="E47">
        <v>4.8999999999999998E-3</v>
      </c>
      <c r="F47">
        <v>3.3999999999999998E-3</v>
      </c>
      <c r="G47">
        <v>9.7000000000000003E-3</v>
      </c>
      <c r="H47">
        <v>1.3599999999999999E-2</v>
      </c>
      <c r="I47">
        <v>1.3599999999999999E-2</v>
      </c>
      <c r="J47">
        <v>1.34E-2</v>
      </c>
      <c r="K47">
        <v>1.3599999999999999E-2</v>
      </c>
      <c r="M47" s="1" t="s">
        <v>20</v>
      </c>
      <c r="N47" s="2">
        <f>6.45/1000</f>
        <v>6.45E-3</v>
      </c>
      <c r="O47" s="2">
        <f>10.54/1000</f>
        <v>1.0539999999999999E-2</v>
      </c>
      <c r="P47">
        <f>10.49/1000</f>
        <v>1.0490000000000001E-2</v>
      </c>
      <c r="Q47">
        <f>10.09/1000</f>
        <v>1.009E-2</v>
      </c>
      <c r="R47">
        <f>7.98/1000</f>
        <v>7.980000000000001E-3</v>
      </c>
      <c r="S47">
        <f>7.95/1000</f>
        <v>7.9500000000000005E-3</v>
      </c>
      <c r="T47">
        <f>8.36/1000</f>
        <v>8.3599999999999994E-3</v>
      </c>
      <c r="U47">
        <f>8.75/1000</f>
        <v>8.7500000000000008E-3</v>
      </c>
      <c r="V47">
        <f>9.59/1000</f>
        <v>9.5899999999999996E-3</v>
      </c>
      <c r="W47">
        <f>9.58/1000</f>
        <v>9.58E-3</v>
      </c>
    </row>
    <row r="48" spans="1:23" x14ac:dyDescent="0.25">
      <c r="A48" s="1" t="s">
        <v>21</v>
      </c>
      <c r="B48" s="2">
        <v>1.3299999999999999E-2</v>
      </c>
      <c r="C48">
        <v>9.7000000000000003E-3</v>
      </c>
      <c r="D48">
        <v>9.9000000000000008E-3</v>
      </c>
      <c r="E48">
        <v>0.01</v>
      </c>
      <c r="F48">
        <v>7.0000000000000001E-3</v>
      </c>
      <c r="G48">
        <v>1.8200000000000001E-2</v>
      </c>
      <c r="H48">
        <v>2.7099999999999999E-2</v>
      </c>
      <c r="I48">
        <v>2.75E-2</v>
      </c>
      <c r="J48">
        <v>2.7300000000000001E-2</v>
      </c>
      <c r="K48">
        <v>2.7E-2</v>
      </c>
      <c r="M48" s="1" t="s">
        <v>21</v>
      </c>
      <c r="N48" s="2">
        <f>15.71/1000</f>
        <v>1.5710000000000002E-2</v>
      </c>
      <c r="O48" s="2">
        <f>26.41/1000</f>
        <v>2.6409999999999999E-2</v>
      </c>
      <c r="P48">
        <f>26.76/1000</f>
        <v>2.6760000000000003E-2</v>
      </c>
      <c r="Q48">
        <f>26.93/1000</f>
        <v>2.6929999999999999E-2</v>
      </c>
      <c r="R48">
        <f>17.91/1000</f>
        <v>1.7909999999999999E-2</v>
      </c>
      <c r="S48">
        <f>18.21/1000</f>
        <v>1.821E-2</v>
      </c>
      <c r="T48">
        <f>19.06/1000</f>
        <v>1.9059999999999997E-2</v>
      </c>
      <c r="U48">
        <f>19.68/1000</f>
        <v>1.968E-2</v>
      </c>
      <c r="V48">
        <f>21.79/1000</f>
        <v>2.179E-2</v>
      </c>
      <c r="W48">
        <f>22.09/1000</f>
        <v>2.2089999999999999E-2</v>
      </c>
    </row>
    <row r="49" spans="1:23" x14ac:dyDescent="0.25">
      <c r="A49" s="1" t="s">
        <v>22</v>
      </c>
      <c r="B49" s="2">
        <v>2.4899999999999999E-2</v>
      </c>
      <c r="C49">
        <v>1.9199999999999998E-2</v>
      </c>
      <c r="D49">
        <v>1.9599999999999999E-2</v>
      </c>
      <c r="E49">
        <v>1.9800000000000002E-2</v>
      </c>
      <c r="F49">
        <v>1.38E-2</v>
      </c>
      <c r="G49">
        <v>3.6499999999999998E-2</v>
      </c>
      <c r="H49">
        <v>5.57E-2</v>
      </c>
      <c r="I49">
        <v>5.4199999999999998E-2</v>
      </c>
      <c r="J49">
        <v>5.3400000000000003E-2</v>
      </c>
      <c r="K49">
        <v>5.3800000000000001E-2</v>
      </c>
      <c r="M49" s="1" t="s">
        <v>22</v>
      </c>
      <c r="N49" s="2">
        <f>49.34/1000</f>
        <v>4.9340000000000002E-2</v>
      </c>
      <c r="O49" s="2">
        <f>82.81/1000</f>
        <v>8.2810000000000009E-2</v>
      </c>
      <c r="P49">
        <f>79.21/1000</f>
        <v>7.9209999999999989E-2</v>
      </c>
      <c r="Q49">
        <f>83.81/1000</f>
        <v>8.3809999999999996E-2</v>
      </c>
      <c r="R49">
        <f>55.11/1000</f>
        <v>5.5109999999999999E-2</v>
      </c>
      <c r="S49">
        <f>55.76/1000</f>
        <v>5.5759999999999997E-2</v>
      </c>
      <c r="T49">
        <f>55.81/1000</f>
        <v>5.5810000000000005E-2</v>
      </c>
      <c r="U49">
        <f>57.82/1000</f>
        <v>5.7820000000000003E-2</v>
      </c>
      <c r="V49">
        <f>69.83/1000</f>
        <v>6.9830000000000003E-2</v>
      </c>
      <c r="W49">
        <f>70.85/1000</f>
        <v>7.0849999999999996E-2</v>
      </c>
    </row>
    <row r="50" spans="1:23" x14ac:dyDescent="0.25">
      <c r="A50" s="1" t="s">
        <v>23</v>
      </c>
      <c r="B50" s="2">
        <v>5.21E-2</v>
      </c>
      <c r="C50">
        <v>4.02E-2</v>
      </c>
      <c r="D50">
        <v>4.1099999999999998E-2</v>
      </c>
      <c r="E50">
        <v>4.07E-2</v>
      </c>
      <c r="F50">
        <v>2.9100000000000001E-2</v>
      </c>
      <c r="G50">
        <v>7.3999999999999996E-2</v>
      </c>
      <c r="H50">
        <v>0.10730000000000001</v>
      </c>
      <c r="I50">
        <v>0.1077</v>
      </c>
      <c r="J50">
        <v>0.1076</v>
      </c>
      <c r="K50">
        <v>0.11</v>
      </c>
      <c r="M50" s="1" t="s">
        <v>23</v>
      </c>
      <c r="N50" s="2">
        <f>131.82/1000</f>
        <v>0.13181999999999999</v>
      </c>
      <c r="O50" s="2">
        <f>227.44/1000</f>
        <v>0.22744</v>
      </c>
      <c r="P50">
        <f>228.93/1000</f>
        <v>0.22892999999999999</v>
      </c>
      <c r="Q50">
        <f>220.15/1000</f>
        <v>0.22015000000000001</v>
      </c>
      <c r="R50">
        <f>141.03/1000</f>
        <v>0.14102999999999999</v>
      </c>
      <c r="S50">
        <f>140.71/1000</f>
        <v>0.14071</v>
      </c>
      <c r="T50">
        <f>145.29/1000</f>
        <v>0.14529</v>
      </c>
      <c r="U50">
        <f>133.74/1000</f>
        <v>0.13374</v>
      </c>
      <c r="V50">
        <f>170.99/1000</f>
        <v>0.17099</v>
      </c>
      <c r="W50">
        <f>172.74/1000</f>
        <v>0.17274</v>
      </c>
    </row>
    <row r="51" spans="1:23" x14ac:dyDescent="0.25">
      <c r="A51" s="1" t="s">
        <v>24</v>
      </c>
      <c r="B51" s="2">
        <v>0.27660000000000001</v>
      </c>
      <c r="C51">
        <v>8.2100000000000006E-2</v>
      </c>
      <c r="D51">
        <v>8.0699999999999994E-2</v>
      </c>
      <c r="E51">
        <v>8.0199999999999994E-2</v>
      </c>
      <c r="F51">
        <v>7.1499999999999994E-2</v>
      </c>
      <c r="G51">
        <v>0.19070000000000001</v>
      </c>
      <c r="H51">
        <v>0.2235</v>
      </c>
      <c r="I51">
        <v>0.22120000000000001</v>
      </c>
      <c r="J51">
        <v>0.22789999999999999</v>
      </c>
      <c r="K51">
        <v>0.2268</v>
      </c>
      <c r="M51" s="1" t="s">
        <v>24</v>
      </c>
      <c r="N51" s="2">
        <f>193.85/1000</f>
        <v>0.19384999999999999</v>
      </c>
      <c r="O51" s="2">
        <f>353.97/1000</f>
        <v>0.35397000000000001</v>
      </c>
      <c r="P51">
        <f>355.38/1000</f>
        <v>0.35537999999999997</v>
      </c>
      <c r="Q51">
        <f>353.02/1000</f>
        <v>0.35302</v>
      </c>
      <c r="R51">
        <f>168.66/1000</f>
        <v>0.16866</v>
      </c>
      <c r="S51">
        <f>177.71/1000</f>
        <v>0.17771000000000001</v>
      </c>
      <c r="T51">
        <f>177.3/1000</f>
        <v>0.17730000000000001</v>
      </c>
      <c r="U51">
        <f>169.99/1000</f>
        <v>0.16999</v>
      </c>
      <c r="V51">
        <f>213.22/1000</f>
        <v>0.21321999999999999</v>
      </c>
      <c r="W51">
        <f>218.25/1000</f>
        <v>0.21825</v>
      </c>
    </row>
    <row r="52" spans="1:23" x14ac:dyDescent="0.25">
      <c r="A52" s="1" t="s">
        <v>25</v>
      </c>
      <c r="B52" s="2">
        <v>2.3172000000000001</v>
      </c>
      <c r="C52">
        <v>0.43709999999999999</v>
      </c>
      <c r="D52">
        <v>0.40820000000000001</v>
      </c>
      <c r="E52">
        <v>0.38590000000000002</v>
      </c>
      <c r="F52">
        <v>0.42720000000000002</v>
      </c>
      <c r="G52">
        <v>1.2410000000000001</v>
      </c>
      <c r="H52">
        <v>2.1613000000000002</v>
      </c>
      <c r="I52">
        <v>1.4394</v>
      </c>
      <c r="J52">
        <v>1.1397999999999999</v>
      </c>
      <c r="K52">
        <v>1.1519999999999999</v>
      </c>
      <c r="M52" s="1" t="s">
        <v>25</v>
      </c>
      <c r="N52" s="2">
        <f>307.54/1000</f>
        <v>0.30754000000000004</v>
      </c>
      <c r="O52" s="2">
        <f>568.45/1000</f>
        <v>0.56845000000000001</v>
      </c>
      <c r="P52">
        <f>564.21/1000</f>
        <v>0.56420999999999999</v>
      </c>
      <c r="Q52">
        <f>577.85/1000</f>
        <v>0.57784999999999997</v>
      </c>
      <c r="R52">
        <f>203.97/1000</f>
        <v>0.20397000000000001</v>
      </c>
      <c r="S52">
        <f>203.28/1000</f>
        <v>0.20327999999999999</v>
      </c>
      <c r="T52">
        <f>200.45/1000</f>
        <v>0.20044999999999999</v>
      </c>
      <c r="U52">
        <f>187.48/1000</f>
        <v>0.18747999999999998</v>
      </c>
      <c r="V52">
        <f>239.54/1000</f>
        <v>0.23954</v>
      </c>
      <c r="W52">
        <f>246.59/1000</f>
        <v>0.24659</v>
      </c>
    </row>
    <row r="53" spans="1:23" x14ac:dyDescent="0.25">
      <c r="A53" s="1" t="s">
        <v>26</v>
      </c>
      <c r="B53" s="2">
        <v>23.417400000000001</v>
      </c>
      <c r="C53">
        <v>7.6021000000000001</v>
      </c>
      <c r="D53">
        <v>6.6825999999999999</v>
      </c>
      <c r="E53">
        <v>6.4736000000000002</v>
      </c>
      <c r="F53">
        <v>4.3144</v>
      </c>
      <c r="G53">
        <v>12.299899999999999</v>
      </c>
      <c r="H53">
        <v>28.987100000000002</v>
      </c>
      <c r="I53">
        <v>11.3497</v>
      </c>
      <c r="J53">
        <v>10.1302</v>
      </c>
      <c r="K53">
        <v>10.4377</v>
      </c>
      <c r="M53" s="1" t="s">
        <v>26</v>
      </c>
      <c r="N53" s="2">
        <f>639.02/1000</f>
        <v>0.63902000000000003</v>
      </c>
      <c r="O53" s="2">
        <f>1200/1000</f>
        <v>1.2</v>
      </c>
      <c r="P53">
        <v>1.2</v>
      </c>
      <c r="Q53">
        <v>1.2</v>
      </c>
      <c r="R53">
        <f>344.2/1000</f>
        <v>0.34420000000000001</v>
      </c>
      <c r="S53">
        <f>347.75/1000</f>
        <v>0.34775</v>
      </c>
      <c r="T53">
        <f>343.77/1000</f>
        <v>0.34376999999999996</v>
      </c>
      <c r="U53">
        <f>314.4/1000</f>
        <v>0.31439999999999996</v>
      </c>
      <c r="V53">
        <f>413.07/1000</f>
        <v>0.41306999999999999</v>
      </c>
      <c r="W53">
        <f>418.61/1000</f>
        <v>0.41861000000000004</v>
      </c>
    </row>
    <row r="54" spans="1:23" x14ac:dyDescent="0.25">
      <c r="A54" s="1" t="s">
        <v>27</v>
      </c>
      <c r="B54" s="2">
        <v>94.706699999999998</v>
      </c>
      <c r="C54">
        <v>105.2726</v>
      </c>
      <c r="D54">
        <v>100.32389999999999</v>
      </c>
      <c r="E54">
        <v>52.220999999999997</v>
      </c>
      <c r="F54">
        <v>40.525199999999998</v>
      </c>
      <c r="G54">
        <v>151.81489999999999</v>
      </c>
      <c r="H54">
        <v>382.08969999999999</v>
      </c>
      <c r="I54">
        <v>120.8835</v>
      </c>
      <c r="J54">
        <v>86.749899999999997</v>
      </c>
      <c r="K54">
        <v>85.3386</v>
      </c>
      <c r="M54" s="1" t="s">
        <v>27</v>
      </c>
      <c r="N54" s="2">
        <f>725.5/1000</f>
        <v>0.72550000000000003</v>
      </c>
      <c r="O54">
        <v>1.35</v>
      </c>
      <c r="P54">
        <v>1.35</v>
      </c>
      <c r="Q54">
        <v>1.35</v>
      </c>
      <c r="R54">
        <f>414.3/1000</f>
        <v>0.4143</v>
      </c>
      <c r="S54">
        <f>145.42/1000</f>
        <v>0.14541999999999999</v>
      </c>
      <c r="T54">
        <f>408.84/1000</f>
        <v>0.40883999999999998</v>
      </c>
      <c r="U54">
        <f>375.82/1000</f>
        <v>0.37581999999999999</v>
      </c>
      <c r="V54">
        <f>500.52/1000</f>
        <v>0.50051999999999996</v>
      </c>
      <c r="W54">
        <f>506.7/1000</f>
        <v>0.50670000000000004</v>
      </c>
    </row>
  </sheetData>
  <mergeCells count="10">
    <mergeCell ref="M1:W1"/>
    <mergeCell ref="M12:W12"/>
    <mergeCell ref="M23:W23"/>
    <mergeCell ref="M34:W34"/>
    <mergeCell ref="M45:W45"/>
    <mergeCell ref="A1:K1"/>
    <mergeCell ref="A12:K12"/>
    <mergeCell ref="A23:K23"/>
    <mergeCell ref="A34:K34"/>
    <mergeCell ref="A45:K45"/>
  </mergeCells>
  <conditionalFormatting sqref="B3:K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K1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K4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K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K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K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K8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K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K1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:K1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K1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K1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K1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K1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K1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K2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K2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5:K2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K32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{BD7C28C1-7209-4568-9B17-62A0DD6C5533}</x14:id>
        </ext>
      </extLst>
    </cfRule>
  </conditionalFormatting>
  <conditionalFormatting sqref="B26:K26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K2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K28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K2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K3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:K3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2:K32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:K3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K3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8:K3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9:K3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K4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K4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2:K4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3:K4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K4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K54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K48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K49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K50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K51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2:K5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3:K5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K54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W3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W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W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W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:W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W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:W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:W1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W32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6:W3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7:W3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:W38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9:W39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0:W40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1:W4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2:W42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:W4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:W4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8:W4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9:W4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0:W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:W5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2:W5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3:W5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:W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7C28C1-7209-4568-9B17-62A0DD6C55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B25:K32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2382-978F-4C87-B52B-63AA14AE64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A022-9B37-4E61-B7EF-72E99B0E026F}">
  <dimension ref="A2:H5"/>
  <sheetViews>
    <sheetView workbookViewId="0">
      <selection activeCell="J10" sqref="J10"/>
    </sheetView>
  </sheetViews>
  <sheetFormatPr defaultRowHeight="15" x14ac:dyDescent="0.25"/>
  <sheetData>
    <row r="2" spans="1:8" x14ac:dyDescent="0.25">
      <c r="A2" t="s">
        <v>36</v>
      </c>
      <c r="B2" t="s">
        <v>39</v>
      </c>
      <c r="C2" t="s">
        <v>37</v>
      </c>
      <c r="D2" t="s">
        <v>40</v>
      </c>
      <c r="E2" t="s">
        <v>38</v>
      </c>
      <c r="F2" t="s">
        <v>41</v>
      </c>
      <c r="G2" t="s">
        <v>42</v>
      </c>
      <c r="H2" t="s">
        <v>43</v>
      </c>
    </row>
    <row r="3" spans="1:8" x14ac:dyDescent="0.25">
      <c r="A3" t="s">
        <v>20</v>
      </c>
      <c r="B3">
        <f>128*16</f>
        <v>2048</v>
      </c>
      <c r="C3">
        <v>11.78</v>
      </c>
      <c r="D3" s="2">
        <v>6.7000000000000002E-3</v>
      </c>
      <c r="E3">
        <v>3.3999999999999998E-3</v>
      </c>
      <c r="F3">
        <f>C3/D3</f>
        <v>1758.2089552238804</v>
      </c>
      <c r="G3">
        <f>C3/E3</f>
        <v>3464.705882352941</v>
      </c>
      <c r="H3">
        <f>G3/F3</f>
        <v>1.9705882352941178</v>
      </c>
    </row>
    <row r="4" spans="1:8" x14ac:dyDescent="0.25">
      <c r="A4" t="s">
        <v>21</v>
      </c>
      <c r="B4">
        <f>256*32</f>
        <v>8192</v>
      </c>
      <c r="C4">
        <v>94.34</v>
      </c>
      <c r="D4" s="2">
        <v>1.3299999999999999E-2</v>
      </c>
      <c r="E4">
        <v>7.0000000000000001E-3</v>
      </c>
      <c r="F4">
        <f t="shared" ref="F4:F5" si="0">C4/D4</f>
        <v>7093.2330827067672</v>
      </c>
      <c r="G4">
        <f>C4/E4</f>
        <v>13477.142857142857</v>
      </c>
      <c r="H4">
        <f t="shared" ref="H4:H5" si="1">G4/F4</f>
        <v>1.9</v>
      </c>
    </row>
    <row r="5" spans="1:8" x14ac:dyDescent="0.25">
      <c r="A5" t="s">
        <v>22</v>
      </c>
      <c r="B5">
        <f>512*64</f>
        <v>32768</v>
      </c>
      <c r="C5">
        <v>300</v>
      </c>
      <c r="D5" s="2">
        <v>2.4899999999999999E-2</v>
      </c>
      <c r="E5">
        <v>1.3799999999999999E-3</v>
      </c>
      <c r="F5">
        <f t="shared" si="0"/>
        <v>12048.192771084337</v>
      </c>
      <c r="G5">
        <f>C5/E5</f>
        <v>217391.30434782611</v>
      </c>
      <c r="H5">
        <f t="shared" si="1"/>
        <v>18.043478260869566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C6D182762B404389A2499427602396" ma:contentTypeVersion="8" ma:contentTypeDescription="Create a new document." ma:contentTypeScope="" ma:versionID="22e576b775a57a6e1bcbb87cfeae5e83">
  <xsd:schema xmlns:xsd="http://www.w3.org/2001/XMLSchema" xmlns:xs="http://www.w3.org/2001/XMLSchema" xmlns:p="http://schemas.microsoft.com/office/2006/metadata/properties" xmlns:ns3="acf77e88-593b-4355-af00-d12ea5993e79" targetNamespace="http://schemas.microsoft.com/office/2006/metadata/properties" ma:root="true" ma:fieldsID="b46fec11c8ac40b92a8c901c3886e18b" ns3:_="">
    <xsd:import namespace="acf77e88-593b-4355-af00-d12ea5993e7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77e88-593b-4355-af00-d12ea5993e7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06F41F-35DC-4F31-830D-80E70D46E66D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acf77e88-593b-4355-af00-d12ea5993e79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DC63C1E-71EE-4CD8-ACD7-8CB5569D2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7D896B-0FF4-4965-99DD-8BB12BEB55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f77e88-593b-4355-af00-d12ea5993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Koley</dc:creator>
  <cp:lastModifiedBy>Gourab Koley</cp:lastModifiedBy>
  <dcterms:created xsi:type="dcterms:W3CDTF">2026-04-06T14:57:39Z</dcterms:created>
  <dcterms:modified xsi:type="dcterms:W3CDTF">2026-04-24T20:40:57Z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0x01010068C6D182762B404389A2499427602396</vt:lpwstr>
  </property>
</Properties>
</file>