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IIT K\sem 2\idc606\assignment sample\251010016\"/>
    </mc:Choice>
  </mc:AlternateContent>
  <xr:revisionPtr revIDLastSave="0" documentId="13_ncr:1_{7DCA96BC-FB58-43FD-B6B5-FAC6519A2BCE}" xr6:coauthVersionLast="47" xr6:coauthVersionMax="47" xr10:uidLastSave="{00000000-0000-0000-0000-000000000000}"/>
  <bookViews>
    <workbookView xWindow="-105" yWindow="0" windowWidth="14610" windowHeight="15585" activeTab="3" xr2:uid="{200E3B6C-7F8C-4D30-B86D-1DE90AEDA111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G3" i="1"/>
  <c r="H3" i="1"/>
  <c r="F4" i="1"/>
  <c r="H4" i="1" s="1"/>
  <c r="G4" i="1"/>
  <c r="F5" i="1"/>
  <c r="H5" i="1" s="1"/>
  <c r="G5" i="1"/>
  <c r="F6" i="1"/>
  <c r="G6" i="1"/>
  <c r="H6" i="1" s="1"/>
  <c r="F7" i="1"/>
  <c r="G7" i="1"/>
  <c r="H7" i="1"/>
  <c r="F8" i="1"/>
  <c r="G8" i="1"/>
  <c r="H8" i="1"/>
  <c r="F9" i="1"/>
  <c r="G9" i="1"/>
  <c r="H9" i="1"/>
  <c r="F10" i="1"/>
  <c r="G10" i="1"/>
  <c r="H10" i="1"/>
</calcChain>
</file>

<file path=xl/sharedStrings.xml><?xml version="1.0" encoding="utf-8"?>
<sst xmlns="http://schemas.openxmlformats.org/spreadsheetml/2006/main" count="146" uniqueCount="130">
  <si>
    <t xml:space="preserve">Grid size </t>
  </si>
  <si>
    <t xml:space="preserve">cells </t>
  </si>
  <si>
    <t xml:space="preserve">128X16 </t>
  </si>
  <si>
    <t xml:space="preserve">256X32 </t>
  </si>
  <si>
    <t>512X64</t>
  </si>
  <si>
    <t>1024X128</t>
  </si>
  <si>
    <t>2048X256</t>
  </si>
  <si>
    <t xml:space="preserve">4096X512 </t>
  </si>
  <si>
    <t>8192X1024</t>
  </si>
  <si>
    <t>16384X2048</t>
  </si>
  <si>
    <t xml:space="preserve">difference </t>
  </si>
  <si>
    <t>gpu_base</t>
  </si>
  <si>
    <t>gpu_opti</t>
  </si>
  <si>
    <t>cpu</t>
  </si>
  <si>
    <t>Time (s)</t>
  </si>
  <si>
    <t>Speed up</t>
  </si>
  <si>
    <t>base</t>
  </si>
  <si>
    <t>opti</t>
  </si>
  <si>
    <t xml:space="preserve">Base </t>
  </si>
  <si>
    <t>Multiple kernels( flux, RHS, update)</t>
  </si>
  <si>
    <t xml:space="preserve">High global memory traffic </t>
  </si>
  <si>
    <t xml:space="preserve">Temporary arrays </t>
  </si>
  <si>
    <t xml:space="preserve">Low arithematic intensity </t>
  </si>
  <si>
    <t xml:space="preserve">correct physics </t>
  </si>
  <si>
    <t xml:space="preserve">easy to debug </t>
  </si>
  <si>
    <t xml:space="preserve">GPU spends more time moving data than computing </t>
  </si>
  <si>
    <t xml:space="preserve">Problems </t>
  </si>
  <si>
    <t xml:space="preserve">Whats works </t>
  </si>
  <si>
    <t xml:space="preserve">Why move ahead </t>
  </si>
  <si>
    <t>Opti_1</t>
  </si>
  <si>
    <t xml:space="preserve">Redundant computation inside kernels </t>
  </si>
  <si>
    <t>Repeated divisons(/rho, /dx)</t>
  </si>
  <si>
    <t xml:space="preserve">No use of fast math </t>
  </si>
  <si>
    <t xml:space="preserve">Enabled warp optimization </t>
  </si>
  <si>
    <r>
      <t xml:space="preserve">Precomputed constants : </t>
    </r>
    <r>
      <rPr>
        <i/>
        <sz val="11"/>
        <color theme="1"/>
        <rFont val="Aptos Narrow"/>
        <family val="2"/>
        <scheme val="minor"/>
      </rPr>
      <t>inv_dx = 1/dx</t>
    </r>
    <r>
      <rPr>
        <sz val="11"/>
        <color theme="1"/>
        <rFont val="Aptos Narrow"/>
        <family val="2"/>
        <scheme val="minor"/>
      </rPr>
      <t xml:space="preserve"> </t>
    </r>
  </si>
  <si>
    <t>Reduced divisons; replaced with multiplications</t>
  </si>
  <si>
    <t xml:space="preserve">Minor cleanup in kerners </t>
  </si>
  <si>
    <t>Arithematic optimization alone gives limited gain on GPU</t>
  </si>
  <si>
    <t>Opti8_shmem</t>
  </si>
  <si>
    <t>Opti_2</t>
  </si>
  <si>
    <t xml:space="preserve">Repeated global memory loads </t>
  </si>
  <si>
    <t xml:space="preserve">Same values read multiple times </t>
  </si>
  <si>
    <t>Poor data resue inside kernel</t>
  </si>
  <si>
    <t xml:space="preserve">Loaded values once per threads </t>
  </si>
  <si>
    <t xml:space="preserve">Reduced variables intead of re-reading arrays </t>
  </si>
  <si>
    <t xml:space="preserve">Reduced redundant memory fetches </t>
  </si>
  <si>
    <t xml:space="preserve">Improved locality slightly </t>
  </si>
  <si>
    <t>Global memory access is expensive — reuse data whenever possible</t>
  </si>
  <si>
    <t>Opti8</t>
  </si>
  <si>
    <t>Opti_3</t>
  </si>
  <si>
    <t xml:space="preserve">Multiple kernels </t>
  </si>
  <si>
    <t xml:space="preserve">Each step writes to global memory </t>
  </si>
  <si>
    <t>High kernel launch overhead</t>
  </si>
  <si>
    <t xml:space="preserve">Reduced number of kernerls </t>
  </si>
  <si>
    <t xml:space="preserve">Combined partial steps (but not fully fused yet) </t>
  </si>
  <si>
    <t xml:space="preserve">Improved data flow between steps </t>
  </si>
  <si>
    <t xml:space="preserve">Recuced temporary arrays </t>
  </si>
  <si>
    <t>Kernel launch + memory traffic together limit performance</t>
  </si>
  <si>
    <t xml:space="preserve">Version </t>
  </si>
  <si>
    <t xml:space="preserve">Fix </t>
  </si>
  <si>
    <t>Gain</t>
  </si>
  <si>
    <t xml:space="preserve">Memory heavy </t>
  </si>
  <si>
    <t>-</t>
  </si>
  <si>
    <t xml:space="preserve">baseline </t>
  </si>
  <si>
    <t xml:space="preserve">Slow math ops </t>
  </si>
  <si>
    <t>fast math + inv_dx</t>
  </si>
  <si>
    <t>Redundant memory loads</t>
  </si>
  <si>
    <t xml:space="preserve">reuse variables </t>
  </si>
  <si>
    <t>moderate gain</t>
  </si>
  <si>
    <t>partial fusion</t>
  </si>
  <si>
    <t xml:space="preserve">noticeable gain </t>
  </si>
  <si>
    <t>Opti_4</t>
  </si>
  <si>
    <t xml:space="preserve">Memory traffic </t>
  </si>
  <si>
    <t>kernel fusion</t>
  </si>
  <si>
    <t xml:space="preserve">big jump </t>
  </si>
  <si>
    <t>Opti_6</t>
  </si>
  <si>
    <t>Opti_5</t>
  </si>
  <si>
    <t xml:space="preserve">More Compute </t>
  </si>
  <si>
    <t>RK3</t>
  </si>
  <si>
    <t xml:space="preserve">accuracy </t>
  </si>
  <si>
    <t xml:space="preserve">Memory layout </t>
  </si>
  <si>
    <t>SoA</t>
  </si>
  <si>
    <t xml:space="preserve">bandwidth </t>
  </si>
  <si>
    <t>Opti_7</t>
  </si>
  <si>
    <t xml:space="preserve">Redundant memory use </t>
  </si>
  <si>
    <t xml:space="preserve">Register reuse </t>
  </si>
  <si>
    <t xml:space="preserve">efficiency </t>
  </si>
  <si>
    <t xml:space="preserve">Opti_8 </t>
  </si>
  <si>
    <t>Extreme fusion</t>
  </si>
  <si>
    <t>Shared Memory</t>
  </si>
  <si>
    <t>small gain</t>
  </si>
  <si>
    <t>Memory bottleneck</t>
  </si>
  <si>
    <t xml:space="preserve">Peak performance </t>
  </si>
  <si>
    <t>Further optimization</t>
  </si>
  <si>
    <t xml:space="preserve">Marginal gain </t>
  </si>
  <si>
    <t>Version</t>
  </si>
  <si>
    <t>Problem</t>
  </si>
  <si>
    <t>Fix</t>
  </si>
  <si>
    <t>Base</t>
  </si>
  <si>
    <t>Memory-heavy</t>
  </si>
  <si>
    <t>Baseline</t>
  </si>
  <si>
    <t>Opti1</t>
  </si>
  <si>
    <t>Slow math operations</t>
  </si>
  <si>
    <t>fast_math + inv_dx</t>
  </si>
  <si>
    <t>Small gain</t>
  </si>
  <si>
    <t>Opti2</t>
  </si>
  <si>
    <t>Reuse variables</t>
  </si>
  <si>
    <t>Moderate gain</t>
  </si>
  <si>
    <t>Opti3</t>
  </si>
  <si>
    <t>Multiple kernels</t>
  </si>
  <si>
    <t>Partial fusion</t>
  </si>
  <si>
    <t>Noticeable gain</t>
  </si>
  <si>
    <t>Opti4</t>
  </si>
  <si>
    <t>Memory traffic</t>
  </si>
  <si>
    <t>Kernel fusion</t>
  </si>
  <si>
    <t>Opti5</t>
  </si>
  <si>
    <t>Increased compute</t>
  </si>
  <si>
    <t>Opti6</t>
  </si>
  <si>
    <t>Memory layout</t>
  </si>
  <si>
    <t>Opti7</t>
  </si>
  <si>
    <t>Redundant memory use</t>
  </si>
  <si>
    <t>Register reuse</t>
  </si>
  <si>
    <t>Shared memory</t>
  </si>
  <si>
    <t>Marginal gain</t>
  </si>
  <si>
    <t>_</t>
  </si>
  <si>
    <t>Peak performance</t>
  </si>
  <si>
    <t xml:space="preserve">Efficiency </t>
  </si>
  <si>
    <t xml:space="preserve">Bandwidth </t>
  </si>
  <si>
    <t xml:space="preserve">Accuracy </t>
  </si>
  <si>
    <t xml:space="preserve">Big jump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</si>
</sst>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textRotation="90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textRotation="90" wrapText="1"/>
    </xf>
    <xf numFmtId="0" fontId="0" fillId="12" borderId="1" xfId="0" applyFill="1" applyBorder="1" applyAlignment="1">
      <alignment wrapText="1"/>
    </xf>
    <xf numFmtId="0" fontId="0" fillId="13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4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3C04-5017-4227-B0BB-C0D341501DAD}">
  <dimension ref="A1:H10"/>
  <sheetViews>
    <sheetView workbookViewId="0">
      <selection sqref="A1:H10"/>
    </sheetView>
  </sheetViews>
  <sheetFormatPr defaultRowHeight="15" x14ac:dyDescent="0.25"/>
  <cols>
    <col min="1" max="1" width="12.28515625" customWidth="1"/>
    <col min="2" max="2" width="12.7109375" customWidth="1"/>
    <col min="3" max="3" width="10" customWidth="1"/>
    <col min="4" max="4" width="10.28515625" customWidth="1"/>
    <col min="5" max="5" width="9" customWidth="1"/>
    <col min="6" max="6" width="11.85546875" customWidth="1"/>
    <col min="7" max="7" width="12.42578125" customWidth="1"/>
  </cols>
  <sheetData>
    <row r="1" spans="1:8" x14ac:dyDescent="0.25">
      <c r="C1" s="21" t="s">
        <v>14</v>
      </c>
      <c r="D1" s="21"/>
      <c r="E1" s="21"/>
      <c r="F1" s="21" t="s">
        <v>15</v>
      </c>
      <c r="G1" s="21"/>
    </row>
    <row r="2" spans="1:8" s="1" customFormat="1" x14ac:dyDescent="0.25">
      <c r="A2" s="1" t="s">
        <v>0</v>
      </c>
      <c r="B2" s="1" t="s">
        <v>1</v>
      </c>
      <c r="C2" s="1" t="s">
        <v>13</v>
      </c>
      <c r="D2" s="1" t="s">
        <v>11</v>
      </c>
      <c r="E2" s="1" t="s">
        <v>12</v>
      </c>
      <c r="F2" s="1" t="s">
        <v>16</v>
      </c>
      <c r="G2" s="1" t="s">
        <v>17</v>
      </c>
      <c r="H2" s="1" t="s">
        <v>10</v>
      </c>
    </row>
    <row r="3" spans="1:8" x14ac:dyDescent="0.25">
      <c r="A3" t="s">
        <v>2</v>
      </c>
      <c r="B3">
        <v>2048</v>
      </c>
      <c r="C3">
        <v>12.56</v>
      </c>
      <c r="D3">
        <v>6.7000000000000002E-3</v>
      </c>
      <c r="E3">
        <v>1.34E-2</v>
      </c>
      <c r="F3">
        <f>C3/D3</f>
        <v>1874.6268656716418</v>
      </c>
      <c r="G3">
        <f>C3/E3</f>
        <v>937.31343283582089</v>
      </c>
      <c r="H3">
        <f>G3/F3</f>
        <v>0.5</v>
      </c>
    </row>
    <row r="4" spans="1:8" x14ac:dyDescent="0.25">
      <c r="A4" t="s">
        <v>3</v>
      </c>
      <c r="B4">
        <v>8192</v>
      </c>
      <c r="C4">
        <v>126.54</v>
      </c>
      <c r="D4">
        <v>1.3299999999999999E-2</v>
      </c>
      <c r="E4">
        <v>2.7300000000000001E-2</v>
      </c>
      <c r="F4">
        <f t="shared" ref="F4:F10" si="0">C4/D4</f>
        <v>9514.2857142857156</v>
      </c>
      <c r="G4">
        <f t="shared" ref="G4:G10" si="1">C4/E4</f>
        <v>4635.1648351648355</v>
      </c>
      <c r="H4">
        <f t="shared" ref="H4:H10" si="2">G4/F4</f>
        <v>0.48717948717948717</v>
      </c>
    </row>
    <row r="5" spans="1:8" x14ac:dyDescent="0.25">
      <c r="A5" t="s">
        <v>4</v>
      </c>
      <c r="B5">
        <v>32768</v>
      </c>
      <c r="C5">
        <v>755.32</v>
      </c>
      <c r="D5">
        <v>2.4899999999999999E-2</v>
      </c>
      <c r="E5">
        <v>5.3400000000000003E-2</v>
      </c>
      <c r="F5">
        <f t="shared" si="0"/>
        <v>30334.136546184742</v>
      </c>
      <c r="G5">
        <f t="shared" si="1"/>
        <v>14144.569288389514</v>
      </c>
      <c r="H5">
        <f t="shared" si="2"/>
        <v>0.46629213483146065</v>
      </c>
    </row>
    <row r="6" spans="1:8" x14ac:dyDescent="0.25">
      <c r="A6" t="s">
        <v>5</v>
      </c>
      <c r="B6">
        <v>131072</v>
      </c>
      <c r="C6">
        <v>3865.12</v>
      </c>
      <c r="D6">
        <v>5.21E-2</v>
      </c>
      <c r="E6">
        <v>0.1076</v>
      </c>
      <c r="F6">
        <f t="shared" si="0"/>
        <v>74186.564299424179</v>
      </c>
      <c r="G6">
        <f t="shared" si="1"/>
        <v>35921.189591078066</v>
      </c>
      <c r="H6">
        <f t="shared" si="2"/>
        <v>0.48420074349442382</v>
      </c>
    </row>
    <row r="7" spans="1:8" x14ac:dyDescent="0.25">
      <c r="A7" t="s">
        <v>6</v>
      </c>
      <c r="B7">
        <v>524288</v>
      </c>
      <c r="C7">
        <v>19523.64</v>
      </c>
      <c r="D7">
        <v>0.27660000000000001</v>
      </c>
      <c r="E7">
        <v>0.22789999999999999</v>
      </c>
      <c r="F7">
        <f t="shared" si="0"/>
        <v>70584.381778741867</v>
      </c>
      <c r="G7">
        <f t="shared" si="1"/>
        <v>85667.573497147867</v>
      </c>
      <c r="H7">
        <f t="shared" si="2"/>
        <v>1.2136902150065818</v>
      </c>
    </row>
    <row r="8" spans="1:8" x14ac:dyDescent="0.25">
      <c r="A8" t="s">
        <v>7</v>
      </c>
      <c r="B8">
        <v>2097152</v>
      </c>
      <c r="C8">
        <v>98523.51</v>
      </c>
      <c r="D8">
        <v>2.3172000000000001</v>
      </c>
      <c r="E8">
        <v>1.1397999999999999</v>
      </c>
      <c r="F8">
        <f t="shared" si="0"/>
        <v>42518.345416882439</v>
      </c>
      <c r="G8">
        <f t="shared" si="1"/>
        <v>86439.296367783827</v>
      </c>
      <c r="H8">
        <f t="shared" si="2"/>
        <v>2.0329882435515008</v>
      </c>
    </row>
    <row r="9" spans="1:8" x14ac:dyDescent="0.25">
      <c r="A9" t="s">
        <v>8</v>
      </c>
      <c r="B9">
        <v>8388608</v>
      </c>
      <c r="C9">
        <v>482563.12</v>
      </c>
      <c r="D9">
        <v>23.417400000000001</v>
      </c>
      <c r="E9">
        <v>10.1302</v>
      </c>
      <c r="F9">
        <f t="shared" si="0"/>
        <v>20607.032377633725</v>
      </c>
      <c r="G9">
        <f t="shared" si="1"/>
        <v>47636.090106809337</v>
      </c>
      <c r="H9">
        <f t="shared" si="2"/>
        <v>2.3116424157469742</v>
      </c>
    </row>
    <row r="10" spans="1:8" x14ac:dyDescent="0.25">
      <c r="A10" t="s">
        <v>9</v>
      </c>
      <c r="B10">
        <v>33554432</v>
      </c>
      <c r="C10">
        <v>1856324.56</v>
      </c>
      <c r="D10">
        <v>94.706699999999998</v>
      </c>
      <c r="E10">
        <v>86.749899999999997</v>
      </c>
      <c r="F10">
        <f t="shared" si="0"/>
        <v>19600.773334938291</v>
      </c>
      <c r="G10">
        <f t="shared" si="1"/>
        <v>21398.578672713167</v>
      </c>
      <c r="H10">
        <f t="shared" si="2"/>
        <v>1.0917211431944012</v>
      </c>
    </row>
  </sheetData>
  <mergeCells count="2">
    <mergeCell ref="C1:E1"/>
    <mergeCell ref="F1:G1"/>
  </mergeCells>
  <conditionalFormatting sqref="F3:G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0615-5FEE-474D-A723-4B34CB2A595A}">
  <dimension ref="A2:G13"/>
  <sheetViews>
    <sheetView workbookViewId="0">
      <selection activeCell="B19" sqref="B19"/>
    </sheetView>
  </sheetViews>
  <sheetFormatPr defaultRowHeight="15" x14ac:dyDescent="0.25"/>
  <cols>
    <col min="1" max="1" width="9.140625" style="1"/>
    <col min="2" max="2" width="22.140625" customWidth="1"/>
    <col min="3" max="3" width="21" customWidth="1"/>
    <col min="4" max="6" width="17.85546875" customWidth="1"/>
    <col min="7" max="7" width="16" customWidth="1"/>
  </cols>
  <sheetData>
    <row r="2" spans="1:7" s="1" customFormat="1" x14ac:dyDescent="0.25">
      <c r="B2" s="1" t="s">
        <v>18</v>
      </c>
      <c r="C2" s="1" t="s">
        <v>29</v>
      </c>
      <c r="D2" s="1" t="s">
        <v>39</v>
      </c>
      <c r="E2" s="1" t="s">
        <v>49</v>
      </c>
      <c r="F2" s="1" t="s">
        <v>48</v>
      </c>
      <c r="G2" s="1" t="s">
        <v>38</v>
      </c>
    </row>
    <row r="3" spans="1:7" ht="55.5" customHeight="1" x14ac:dyDescent="0.25">
      <c r="A3" s="22" t="s">
        <v>26</v>
      </c>
      <c r="B3" s="5" t="s">
        <v>19</v>
      </c>
      <c r="C3" s="5" t="s">
        <v>30</v>
      </c>
      <c r="D3" s="5" t="s">
        <v>40</v>
      </c>
      <c r="E3" s="5" t="s">
        <v>50</v>
      </c>
      <c r="F3" s="5"/>
      <c r="G3" s="5"/>
    </row>
    <row r="4" spans="1:7" ht="30" x14ac:dyDescent="0.25">
      <c r="A4" s="22"/>
      <c r="B4" s="5" t="s">
        <v>20</v>
      </c>
      <c r="C4" s="5" t="s">
        <v>31</v>
      </c>
      <c r="D4" s="5" t="s">
        <v>41</v>
      </c>
      <c r="E4" s="5" t="s">
        <v>51</v>
      </c>
      <c r="F4" s="5"/>
      <c r="G4" s="5"/>
    </row>
    <row r="5" spans="1:7" ht="30" x14ac:dyDescent="0.25">
      <c r="A5" s="22"/>
      <c r="B5" s="5" t="s">
        <v>21</v>
      </c>
      <c r="C5" s="5" t="s">
        <v>32</v>
      </c>
      <c r="D5" s="5" t="s">
        <v>42</v>
      </c>
      <c r="E5" s="5" t="s">
        <v>52</v>
      </c>
      <c r="F5" s="5"/>
      <c r="G5" s="5"/>
    </row>
    <row r="6" spans="1:7" ht="30" x14ac:dyDescent="0.25">
      <c r="A6" s="22"/>
      <c r="B6" s="5" t="s">
        <v>22</v>
      </c>
      <c r="C6" s="5"/>
      <c r="D6" s="5"/>
      <c r="E6" s="5"/>
      <c r="F6" s="5"/>
      <c r="G6" s="5"/>
    </row>
    <row r="7" spans="1:7" x14ac:dyDescent="0.25">
      <c r="C7" s="3"/>
      <c r="D7" s="3"/>
      <c r="E7" s="3"/>
      <c r="F7" s="3"/>
      <c r="G7" s="3"/>
    </row>
    <row r="8" spans="1:7" ht="30" customHeight="1" x14ac:dyDescent="0.25">
      <c r="A8" s="23" t="s">
        <v>27</v>
      </c>
      <c r="B8" s="6" t="s">
        <v>23</v>
      </c>
      <c r="C8" s="5" t="s">
        <v>33</v>
      </c>
      <c r="D8" s="5" t="s">
        <v>43</v>
      </c>
      <c r="E8" s="5" t="s">
        <v>53</v>
      </c>
      <c r="F8" s="5"/>
      <c r="G8" s="5"/>
    </row>
    <row r="9" spans="1:7" ht="45" x14ac:dyDescent="0.25">
      <c r="A9" s="24"/>
      <c r="B9" s="6" t="s">
        <v>24</v>
      </c>
      <c r="C9" s="5" t="s">
        <v>34</v>
      </c>
      <c r="D9" s="5" t="s">
        <v>44</v>
      </c>
      <c r="E9" s="5" t="s">
        <v>54</v>
      </c>
      <c r="F9" s="5"/>
      <c r="G9" s="5"/>
    </row>
    <row r="10" spans="1:7" ht="44.25" customHeight="1" x14ac:dyDescent="0.25">
      <c r="A10" s="24"/>
      <c r="B10" s="6"/>
      <c r="C10" s="5" t="s">
        <v>35</v>
      </c>
      <c r="D10" s="5" t="s">
        <v>45</v>
      </c>
      <c r="E10" s="5" t="s">
        <v>55</v>
      </c>
      <c r="F10" s="5"/>
      <c r="G10" s="5"/>
    </row>
    <row r="11" spans="1:7" ht="44.25" customHeight="1" x14ac:dyDescent="0.25">
      <c r="A11" s="25"/>
      <c r="B11" s="6"/>
      <c r="C11" s="5" t="s">
        <v>36</v>
      </c>
      <c r="D11" s="5" t="s">
        <v>46</v>
      </c>
      <c r="E11" s="5" t="s">
        <v>56</v>
      </c>
      <c r="F11" s="5"/>
      <c r="G11" s="5"/>
    </row>
    <row r="12" spans="1:7" ht="18.75" customHeight="1" x14ac:dyDescent="0.25">
      <c r="A12" s="4"/>
      <c r="C12" s="3"/>
      <c r="D12" s="3"/>
      <c r="E12" s="3"/>
      <c r="F12" s="3"/>
      <c r="G12" s="3"/>
    </row>
    <row r="13" spans="1:7" s="2" customFormat="1" ht="71.25" customHeight="1" x14ac:dyDescent="0.25">
      <c r="A13" s="8" t="s">
        <v>28</v>
      </c>
      <c r="B13" s="7" t="s">
        <v>25</v>
      </c>
      <c r="C13" s="7" t="s">
        <v>37</v>
      </c>
      <c r="D13" s="5" t="s">
        <v>47</v>
      </c>
      <c r="E13" s="5" t="s">
        <v>57</v>
      </c>
      <c r="F13" s="7"/>
      <c r="G13" s="7"/>
    </row>
  </sheetData>
  <mergeCells count="2">
    <mergeCell ref="A3:A6"/>
    <mergeCell ref="A8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1167-D5C7-403D-8AFB-8EE3E895A250}">
  <dimension ref="A2:D15"/>
  <sheetViews>
    <sheetView workbookViewId="0">
      <selection activeCell="D3" sqref="D3"/>
    </sheetView>
  </sheetViews>
  <sheetFormatPr defaultRowHeight="15" x14ac:dyDescent="0.25"/>
  <cols>
    <col min="1" max="1" width="14.42578125" customWidth="1"/>
    <col min="2" max="2" width="23.28515625" customWidth="1"/>
    <col min="3" max="3" width="19" customWidth="1"/>
    <col min="4" max="4" width="22.140625" customWidth="1"/>
  </cols>
  <sheetData>
    <row r="2" spans="1:4" s="9" customFormat="1" x14ac:dyDescent="0.25">
      <c r="A2" s="10" t="s">
        <v>58</v>
      </c>
      <c r="B2" s="10" t="s">
        <v>26</v>
      </c>
      <c r="C2" s="10" t="s">
        <v>59</v>
      </c>
      <c r="D2" s="10" t="s">
        <v>60</v>
      </c>
    </row>
    <row r="3" spans="1:4" s="3" customFormat="1" x14ac:dyDescent="0.25">
      <c r="A3" s="5" t="s">
        <v>18</v>
      </c>
      <c r="B3" s="5" t="s">
        <v>61</v>
      </c>
      <c r="C3" s="5" t="s">
        <v>62</v>
      </c>
      <c r="D3" s="11" t="s">
        <v>63</v>
      </c>
    </row>
    <row r="4" spans="1:4" s="3" customFormat="1" ht="20.25" customHeight="1" x14ac:dyDescent="0.25">
      <c r="A4" s="5" t="s">
        <v>29</v>
      </c>
      <c r="B4" s="5" t="s">
        <v>64</v>
      </c>
      <c r="C4" s="5" t="s">
        <v>65</v>
      </c>
      <c r="D4" s="12" t="s">
        <v>90</v>
      </c>
    </row>
    <row r="5" spans="1:4" s="3" customFormat="1" ht="18" customHeight="1" x14ac:dyDescent="0.25">
      <c r="A5" s="5" t="s">
        <v>39</v>
      </c>
      <c r="B5" s="5" t="s">
        <v>66</v>
      </c>
      <c r="C5" s="5" t="s">
        <v>67</v>
      </c>
      <c r="D5" s="13" t="s">
        <v>68</v>
      </c>
    </row>
    <row r="6" spans="1:4" s="3" customFormat="1" ht="15.75" customHeight="1" x14ac:dyDescent="0.25">
      <c r="A6" s="5" t="s">
        <v>49</v>
      </c>
      <c r="B6" s="5" t="s">
        <v>50</v>
      </c>
      <c r="C6" s="5" t="s">
        <v>69</v>
      </c>
      <c r="D6" s="14" t="s">
        <v>70</v>
      </c>
    </row>
    <row r="7" spans="1:4" s="3" customFormat="1" ht="15.75" customHeight="1" x14ac:dyDescent="0.25">
      <c r="A7" s="5" t="s">
        <v>71</v>
      </c>
      <c r="B7" s="5" t="s">
        <v>72</v>
      </c>
      <c r="C7" s="5" t="s">
        <v>73</v>
      </c>
      <c r="D7" s="15" t="s">
        <v>74</v>
      </c>
    </row>
    <row r="8" spans="1:4" s="3" customFormat="1" ht="15.75" customHeight="1" x14ac:dyDescent="0.25">
      <c r="A8" s="5" t="s">
        <v>76</v>
      </c>
      <c r="B8" s="5" t="s">
        <v>77</v>
      </c>
      <c r="C8" s="5" t="s">
        <v>78</v>
      </c>
      <c r="D8" s="16" t="s">
        <v>79</v>
      </c>
    </row>
    <row r="9" spans="1:4" s="3" customFormat="1" ht="15.75" customHeight="1" x14ac:dyDescent="0.25">
      <c r="A9" s="5" t="s">
        <v>75</v>
      </c>
      <c r="B9" s="5" t="s">
        <v>80</v>
      </c>
      <c r="C9" s="5" t="s">
        <v>81</v>
      </c>
      <c r="D9" s="17" t="s">
        <v>82</v>
      </c>
    </row>
    <row r="10" spans="1:4" s="3" customFormat="1" ht="15.75" customHeight="1" x14ac:dyDescent="0.25">
      <c r="A10" s="5" t="s">
        <v>83</v>
      </c>
      <c r="B10" s="5" t="s">
        <v>84</v>
      </c>
      <c r="C10" s="5" t="s">
        <v>85</v>
      </c>
      <c r="D10" s="19" t="s">
        <v>86</v>
      </c>
    </row>
    <row r="11" spans="1:4" s="3" customFormat="1" ht="15.75" customHeight="1" x14ac:dyDescent="0.25">
      <c r="A11" s="5" t="s">
        <v>87</v>
      </c>
      <c r="B11" s="5" t="s">
        <v>91</v>
      </c>
      <c r="C11" s="5" t="s">
        <v>88</v>
      </c>
      <c r="D11" s="20" t="s">
        <v>92</v>
      </c>
    </row>
    <row r="12" spans="1:4" s="3" customFormat="1" x14ac:dyDescent="0.25">
      <c r="A12" s="5" t="s">
        <v>38</v>
      </c>
      <c r="B12" s="5" t="s">
        <v>93</v>
      </c>
      <c r="C12" s="5" t="s">
        <v>89</v>
      </c>
      <c r="D12" s="18" t="s">
        <v>94</v>
      </c>
    </row>
    <row r="13" spans="1:4" s="3" customFormat="1" x14ac:dyDescent="0.25"/>
    <row r="14" spans="1:4" s="3" customFormat="1" x14ac:dyDescent="0.25"/>
    <row r="15" spans="1:4" s="3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3B34-5A8A-4B07-A05B-EEF816453B44}">
  <dimension ref="A1:D11"/>
  <sheetViews>
    <sheetView tabSelected="1" workbookViewId="0">
      <selection activeCell="E13" sqref="E13"/>
    </sheetView>
  </sheetViews>
  <sheetFormatPr defaultRowHeight="15" x14ac:dyDescent="0.25"/>
  <cols>
    <col min="1" max="1" width="13" customWidth="1"/>
    <col min="2" max="2" width="23.85546875" customWidth="1"/>
    <col min="3" max="3" width="19.5703125" customWidth="1"/>
    <col min="4" max="4" width="22.28515625" customWidth="1"/>
  </cols>
  <sheetData>
    <row r="1" spans="1:4" s="1" customFormat="1" x14ac:dyDescent="0.25">
      <c r="A1" s="10" t="s">
        <v>95</v>
      </c>
      <c r="B1" s="10" t="s">
        <v>96</v>
      </c>
      <c r="C1" s="10" t="s">
        <v>97</v>
      </c>
      <c r="D1" s="10" t="s">
        <v>60</v>
      </c>
    </row>
    <row r="2" spans="1:4" x14ac:dyDescent="0.25">
      <c r="A2" s="5" t="s">
        <v>98</v>
      </c>
      <c r="B2" s="5" t="s">
        <v>99</v>
      </c>
      <c r="C2" s="5" t="s">
        <v>124</v>
      </c>
      <c r="D2" s="26" t="s">
        <v>100</v>
      </c>
    </row>
    <row r="3" spans="1:4" ht="18.75" customHeight="1" x14ac:dyDescent="0.25">
      <c r="A3" s="5" t="s">
        <v>101</v>
      </c>
      <c r="B3" s="5" t="s">
        <v>102</v>
      </c>
      <c r="C3" s="5" t="s">
        <v>103</v>
      </c>
      <c r="D3" s="12" t="s">
        <v>104</v>
      </c>
    </row>
    <row r="4" spans="1:4" ht="17.25" customHeight="1" x14ac:dyDescent="0.25">
      <c r="A4" s="5" t="s">
        <v>105</v>
      </c>
      <c r="B4" s="5" t="s">
        <v>66</v>
      </c>
      <c r="C4" s="5" t="s">
        <v>106</v>
      </c>
      <c r="D4" s="13" t="s">
        <v>107</v>
      </c>
    </row>
    <row r="5" spans="1:4" ht="15.75" customHeight="1" x14ac:dyDescent="0.25">
      <c r="A5" s="5" t="s">
        <v>108</v>
      </c>
      <c r="B5" s="5" t="s">
        <v>109</v>
      </c>
      <c r="C5" s="5" t="s">
        <v>110</v>
      </c>
      <c r="D5" s="14" t="s">
        <v>111</v>
      </c>
    </row>
    <row r="6" spans="1:4" ht="17.25" customHeight="1" x14ac:dyDescent="0.25">
      <c r="A6" s="5" t="s">
        <v>112</v>
      </c>
      <c r="B6" s="5" t="s">
        <v>113</v>
      </c>
      <c r="C6" s="5" t="s">
        <v>114</v>
      </c>
      <c r="D6" s="15" t="s">
        <v>129</v>
      </c>
    </row>
    <row r="7" spans="1:4" ht="18" customHeight="1" x14ac:dyDescent="0.25">
      <c r="A7" s="5" t="s">
        <v>115</v>
      </c>
      <c r="B7" s="5" t="s">
        <v>116</v>
      </c>
      <c r="C7" s="5" t="s">
        <v>78</v>
      </c>
      <c r="D7" s="16" t="s">
        <v>128</v>
      </c>
    </row>
    <row r="8" spans="1:4" ht="16.5" customHeight="1" x14ac:dyDescent="0.25">
      <c r="A8" s="5" t="s">
        <v>117</v>
      </c>
      <c r="B8" s="5" t="s">
        <v>118</v>
      </c>
      <c r="C8" s="5" t="s">
        <v>81</v>
      </c>
      <c r="D8" s="27" t="s">
        <v>127</v>
      </c>
    </row>
    <row r="9" spans="1:4" ht="16.5" customHeight="1" x14ac:dyDescent="0.25">
      <c r="A9" s="5" t="s">
        <v>119</v>
      </c>
      <c r="B9" s="5" t="s">
        <v>120</v>
      </c>
      <c r="C9" s="5" t="s">
        <v>121</v>
      </c>
      <c r="D9" s="28" t="s">
        <v>126</v>
      </c>
    </row>
    <row r="10" spans="1:4" ht="16.5" customHeight="1" x14ac:dyDescent="0.25">
      <c r="A10" s="5" t="s">
        <v>48</v>
      </c>
      <c r="B10" s="5" t="s">
        <v>91</v>
      </c>
      <c r="C10" s="5" t="s">
        <v>88</v>
      </c>
      <c r="D10" s="29" t="s">
        <v>125</v>
      </c>
    </row>
    <row r="11" spans="1:4" ht="17.25" customHeight="1" x14ac:dyDescent="0.25">
      <c r="A11" s="5" t="s">
        <v>38</v>
      </c>
      <c r="B11" s="5" t="s">
        <v>93</v>
      </c>
      <c r="C11" s="5" t="s">
        <v>122</v>
      </c>
      <c r="D11" s="30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Gourab Koley</dc:creator>
  <cp:lastModifiedBy>Gourab Koley</cp:lastModifiedBy>
  <dcterms:created xsi:type="dcterms:W3CDTF">2026-04-22T19:58:46Z</dcterms:created>
  <dcterms:modified xsi:type="dcterms:W3CDTF">2026-04-24T19:15:36Z</dcterms:modified>
</cp:coreProperties>
</file>